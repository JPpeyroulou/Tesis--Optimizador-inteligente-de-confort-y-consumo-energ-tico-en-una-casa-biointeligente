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icon\Downloads\"/>
    </mc:Choice>
  </mc:AlternateContent>
  <xr:revisionPtr revIDLastSave="0" documentId="8_{CC7F6AB2-5BC8-41B5-809C-A9D55593DF0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E140BXYDEG" sheetId="4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4" l="1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" i="4"/>
  <c r="N158" i="4"/>
  <c r="M158" i="4"/>
  <c r="K158" i="4"/>
  <c r="F158" i="4"/>
  <c r="G158" i="4" s="1"/>
  <c r="N157" i="4"/>
  <c r="M157" i="4"/>
  <c r="K157" i="4"/>
  <c r="F157" i="4"/>
  <c r="G157" i="4" s="1"/>
  <c r="N156" i="4"/>
  <c r="M156" i="4"/>
  <c r="K156" i="4"/>
  <c r="F156" i="4"/>
  <c r="G156" i="4" s="1"/>
  <c r="N155" i="4"/>
  <c r="M155" i="4"/>
  <c r="K155" i="4"/>
  <c r="F155" i="4"/>
  <c r="G155" i="4" s="1"/>
  <c r="N154" i="4"/>
  <c r="M154" i="4"/>
  <c r="K154" i="4"/>
  <c r="F154" i="4"/>
  <c r="G154" i="4" s="1"/>
  <c r="N153" i="4"/>
  <c r="M153" i="4"/>
  <c r="K153" i="4"/>
  <c r="F153" i="4"/>
  <c r="G153" i="4" s="1"/>
  <c r="N152" i="4"/>
  <c r="M152" i="4"/>
  <c r="K152" i="4"/>
  <c r="F152" i="4"/>
  <c r="G152" i="4" s="1"/>
  <c r="N151" i="4"/>
  <c r="M151" i="4"/>
  <c r="K151" i="4"/>
  <c r="F151" i="4"/>
  <c r="G151" i="4" s="1"/>
  <c r="N150" i="4"/>
  <c r="M150" i="4"/>
  <c r="K150" i="4"/>
  <c r="F150" i="4"/>
  <c r="G150" i="4" s="1"/>
  <c r="N149" i="4"/>
  <c r="M149" i="4"/>
  <c r="K149" i="4"/>
  <c r="F149" i="4"/>
  <c r="G149" i="4" s="1"/>
  <c r="N148" i="4"/>
  <c r="M148" i="4"/>
  <c r="K148" i="4"/>
  <c r="F148" i="4"/>
  <c r="G148" i="4" s="1"/>
  <c r="N147" i="4"/>
  <c r="M147" i="4"/>
  <c r="K147" i="4"/>
  <c r="F147" i="4"/>
  <c r="G147" i="4" s="1"/>
  <c r="N146" i="4"/>
  <c r="M146" i="4"/>
  <c r="K146" i="4"/>
  <c r="F146" i="4"/>
  <c r="G146" i="4" s="1"/>
  <c r="N145" i="4"/>
  <c r="M145" i="4"/>
  <c r="K145" i="4"/>
  <c r="F145" i="4"/>
  <c r="G145" i="4" s="1"/>
  <c r="N144" i="4"/>
  <c r="M144" i="4"/>
  <c r="K144" i="4"/>
  <c r="F144" i="4"/>
  <c r="G144" i="4" s="1"/>
  <c r="N143" i="4"/>
  <c r="M143" i="4"/>
  <c r="K143" i="4"/>
  <c r="F143" i="4"/>
  <c r="G143" i="4" s="1"/>
  <c r="N142" i="4"/>
  <c r="M142" i="4"/>
  <c r="K142" i="4"/>
  <c r="F142" i="4"/>
  <c r="G142" i="4" s="1"/>
  <c r="N141" i="4"/>
  <c r="M141" i="4"/>
  <c r="K141" i="4"/>
  <c r="F141" i="4"/>
  <c r="G141" i="4" s="1"/>
  <c r="N140" i="4"/>
  <c r="M140" i="4"/>
  <c r="K140" i="4"/>
  <c r="F140" i="4"/>
  <c r="G140" i="4" s="1"/>
  <c r="N139" i="4"/>
  <c r="M139" i="4"/>
  <c r="K139" i="4"/>
  <c r="F139" i="4"/>
  <c r="G139" i="4" s="1"/>
  <c r="N138" i="4"/>
  <c r="M138" i="4"/>
  <c r="K138" i="4"/>
  <c r="F138" i="4"/>
  <c r="G138" i="4" s="1"/>
  <c r="N137" i="4"/>
  <c r="M137" i="4"/>
  <c r="K137" i="4"/>
  <c r="F137" i="4"/>
  <c r="G137" i="4" s="1"/>
  <c r="N136" i="4"/>
  <c r="M136" i="4"/>
  <c r="K136" i="4"/>
  <c r="F136" i="4"/>
  <c r="G136" i="4" s="1"/>
  <c r="N135" i="4"/>
  <c r="M135" i="4"/>
  <c r="K135" i="4"/>
  <c r="F135" i="4"/>
  <c r="G135" i="4" s="1"/>
  <c r="N134" i="4"/>
  <c r="M134" i="4"/>
  <c r="K134" i="4"/>
  <c r="F134" i="4"/>
  <c r="G134" i="4" s="1"/>
  <c r="N133" i="4"/>
  <c r="M133" i="4"/>
  <c r="K133" i="4"/>
  <c r="F133" i="4"/>
  <c r="G133" i="4" s="1"/>
  <c r="N132" i="4"/>
  <c r="M132" i="4"/>
  <c r="K132" i="4"/>
  <c r="F132" i="4"/>
  <c r="G132" i="4" s="1"/>
  <c r="N131" i="4"/>
  <c r="M131" i="4"/>
  <c r="K131" i="4"/>
  <c r="F131" i="4"/>
  <c r="G131" i="4" s="1"/>
  <c r="N130" i="4"/>
  <c r="M130" i="4"/>
  <c r="K130" i="4"/>
  <c r="F130" i="4"/>
  <c r="G130" i="4" s="1"/>
  <c r="N129" i="4"/>
  <c r="M129" i="4"/>
  <c r="K129" i="4"/>
  <c r="F129" i="4"/>
  <c r="G129" i="4" s="1"/>
  <c r="N128" i="4"/>
  <c r="M128" i="4"/>
  <c r="K128" i="4"/>
  <c r="F128" i="4"/>
  <c r="G128" i="4" s="1"/>
  <c r="N127" i="4"/>
  <c r="M127" i="4"/>
  <c r="K127" i="4"/>
  <c r="F127" i="4"/>
  <c r="G127" i="4" s="1"/>
  <c r="N126" i="4"/>
  <c r="M126" i="4"/>
  <c r="K126" i="4"/>
  <c r="F126" i="4"/>
  <c r="G126" i="4" s="1"/>
  <c r="N125" i="4"/>
  <c r="M125" i="4"/>
  <c r="K125" i="4"/>
  <c r="F125" i="4"/>
  <c r="G125" i="4" s="1"/>
  <c r="N124" i="4"/>
  <c r="M124" i="4"/>
  <c r="K124" i="4"/>
  <c r="F124" i="4"/>
  <c r="G124" i="4" s="1"/>
  <c r="N123" i="4"/>
  <c r="M123" i="4"/>
  <c r="K123" i="4"/>
  <c r="F123" i="4"/>
  <c r="G123" i="4" s="1"/>
  <c r="N122" i="4"/>
  <c r="M122" i="4"/>
  <c r="K122" i="4"/>
  <c r="F122" i="4"/>
  <c r="G122" i="4" s="1"/>
  <c r="N121" i="4"/>
  <c r="M121" i="4"/>
  <c r="K121" i="4"/>
  <c r="F121" i="4"/>
  <c r="G121" i="4" s="1"/>
  <c r="N120" i="4"/>
  <c r="M120" i="4"/>
  <c r="K120" i="4"/>
  <c r="F120" i="4"/>
  <c r="G120" i="4" s="1"/>
  <c r="N119" i="4"/>
  <c r="M119" i="4"/>
  <c r="K119" i="4"/>
  <c r="F119" i="4"/>
  <c r="G119" i="4" s="1"/>
  <c r="N118" i="4"/>
  <c r="M118" i="4"/>
  <c r="K118" i="4"/>
  <c r="F118" i="4"/>
  <c r="G118" i="4" s="1"/>
  <c r="N117" i="4"/>
  <c r="M117" i="4"/>
  <c r="K117" i="4"/>
  <c r="F117" i="4"/>
  <c r="G117" i="4" s="1"/>
  <c r="N116" i="4"/>
  <c r="M116" i="4"/>
  <c r="K116" i="4"/>
  <c r="F116" i="4"/>
  <c r="G116" i="4" s="1"/>
  <c r="N115" i="4"/>
  <c r="M115" i="4"/>
  <c r="K115" i="4"/>
  <c r="G115" i="4"/>
  <c r="F115" i="4"/>
  <c r="N114" i="4"/>
  <c r="M114" i="4"/>
  <c r="K114" i="4"/>
  <c r="F114" i="4"/>
  <c r="G114" i="4" s="1"/>
  <c r="N113" i="4"/>
  <c r="M113" i="4"/>
  <c r="K113" i="4"/>
  <c r="F113" i="4"/>
  <c r="G113" i="4" s="1"/>
  <c r="N112" i="4"/>
  <c r="M112" i="4"/>
  <c r="K112" i="4"/>
  <c r="F112" i="4"/>
  <c r="G112" i="4" s="1"/>
  <c r="N111" i="4"/>
  <c r="M111" i="4"/>
  <c r="K111" i="4"/>
  <c r="F111" i="4"/>
  <c r="G111" i="4" s="1"/>
  <c r="N110" i="4"/>
  <c r="M110" i="4"/>
  <c r="K110" i="4"/>
  <c r="F110" i="4"/>
  <c r="G110" i="4" s="1"/>
  <c r="N109" i="4"/>
  <c r="M109" i="4"/>
  <c r="K109" i="4"/>
  <c r="F109" i="4"/>
  <c r="G109" i="4" s="1"/>
  <c r="N108" i="4"/>
  <c r="M108" i="4"/>
  <c r="K108" i="4"/>
  <c r="F108" i="4"/>
  <c r="G108" i="4" s="1"/>
  <c r="N107" i="4"/>
  <c r="M107" i="4"/>
  <c r="K107" i="4"/>
  <c r="F107" i="4"/>
  <c r="G107" i="4" s="1"/>
  <c r="N106" i="4"/>
  <c r="M106" i="4"/>
  <c r="K106" i="4"/>
  <c r="F106" i="4"/>
  <c r="G106" i="4" s="1"/>
  <c r="N105" i="4"/>
  <c r="M105" i="4"/>
  <c r="K105" i="4"/>
  <c r="F105" i="4"/>
  <c r="G105" i="4" s="1"/>
  <c r="N104" i="4"/>
  <c r="M104" i="4"/>
  <c r="K104" i="4"/>
  <c r="F104" i="4"/>
  <c r="G104" i="4" s="1"/>
  <c r="N103" i="4"/>
  <c r="M103" i="4"/>
  <c r="K103" i="4"/>
  <c r="F103" i="4"/>
  <c r="G103" i="4" s="1"/>
  <c r="N102" i="4"/>
  <c r="M102" i="4"/>
  <c r="K102" i="4"/>
  <c r="F102" i="4"/>
  <c r="G102" i="4" s="1"/>
  <c r="N101" i="4"/>
  <c r="M101" i="4"/>
  <c r="K101" i="4"/>
  <c r="F101" i="4"/>
  <c r="G101" i="4" s="1"/>
  <c r="N100" i="4"/>
  <c r="M100" i="4"/>
  <c r="K100" i="4"/>
  <c r="F100" i="4"/>
  <c r="G100" i="4" s="1"/>
  <c r="N99" i="4"/>
  <c r="M99" i="4"/>
  <c r="K99" i="4"/>
  <c r="F99" i="4"/>
  <c r="G99" i="4" s="1"/>
  <c r="N98" i="4"/>
  <c r="M98" i="4"/>
  <c r="K98" i="4"/>
  <c r="F98" i="4"/>
  <c r="G98" i="4" s="1"/>
  <c r="N97" i="4"/>
  <c r="M97" i="4"/>
  <c r="K97" i="4"/>
  <c r="F97" i="4"/>
  <c r="G97" i="4" s="1"/>
  <c r="N96" i="4"/>
  <c r="M96" i="4"/>
  <c r="K96" i="4"/>
  <c r="F96" i="4"/>
  <c r="G96" i="4" s="1"/>
  <c r="N95" i="4"/>
  <c r="M95" i="4"/>
  <c r="K95" i="4"/>
  <c r="F95" i="4"/>
  <c r="G95" i="4" s="1"/>
  <c r="N94" i="4"/>
  <c r="M94" i="4"/>
  <c r="K94" i="4"/>
  <c r="F94" i="4"/>
  <c r="G94" i="4" s="1"/>
  <c r="N93" i="4"/>
  <c r="M93" i="4"/>
  <c r="K93" i="4"/>
  <c r="F93" i="4"/>
  <c r="G93" i="4" s="1"/>
  <c r="N92" i="4"/>
  <c r="M92" i="4"/>
  <c r="K92" i="4"/>
  <c r="F92" i="4"/>
  <c r="G92" i="4" s="1"/>
  <c r="N91" i="4"/>
  <c r="M91" i="4"/>
  <c r="K91" i="4"/>
  <c r="F91" i="4"/>
  <c r="G91" i="4" s="1"/>
  <c r="N90" i="4"/>
  <c r="M90" i="4"/>
  <c r="K90" i="4"/>
  <c r="F90" i="4"/>
  <c r="G90" i="4" s="1"/>
  <c r="N89" i="4"/>
  <c r="M89" i="4"/>
  <c r="K89" i="4"/>
  <c r="F89" i="4"/>
  <c r="G89" i="4" s="1"/>
  <c r="N88" i="4"/>
  <c r="M88" i="4"/>
  <c r="K88" i="4"/>
  <c r="F88" i="4"/>
  <c r="G88" i="4" s="1"/>
  <c r="N87" i="4"/>
  <c r="M87" i="4"/>
  <c r="K87" i="4"/>
  <c r="F87" i="4"/>
  <c r="G87" i="4" s="1"/>
  <c r="N86" i="4"/>
  <c r="M86" i="4"/>
  <c r="K86" i="4"/>
  <c r="F86" i="4"/>
  <c r="G86" i="4" s="1"/>
  <c r="N85" i="4"/>
  <c r="M85" i="4"/>
  <c r="K85" i="4"/>
  <c r="F85" i="4"/>
  <c r="G85" i="4" s="1"/>
  <c r="N84" i="4"/>
  <c r="M84" i="4"/>
  <c r="K84" i="4"/>
  <c r="F84" i="4"/>
  <c r="G84" i="4" s="1"/>
  <c r="N83" i="4"/>
  <c r="M83" i="4"/>
  <c r="K83" i="4"/>
  <c r="F83" i="4"/>
  <c r="G83" i="4" s="1"/>
  <c r="N82" i="4"/>
  <c r="M82" i="4"/>
  <c r="K82" i="4"/>
  <c r="F82" i="4"/>
  <c r="G82" i="4" s="1"/>
  <c r="N81" i="4"/>
  <c r="M81" i="4"/>
  <c r="K81" i="4"/>
  <c r="F81" i="4"/>
  <c r="G81" i="4" s="1"/>
  <c r="N80" i="4"/>
  <c r="M80" i="4"/>
  <c r="K80" i="4"/>
  <c r="F80" i="4"/>
  <c r="G80" i="4" s="1"/>
  <c r="N79" i="4"/>
  <c r="M79" i="4"/>
  <c r="K79" i="4"/>
  <c r="F79" i="4"/>
  <c r="G79" i="4" s="1"/>
  <c r="N78" i="4"/>
  <c r="M78" i="4"/>
  <c r="K78" i="4"/>
  <c r="F78" i="4"/>
  <c r="G78" i="4" s="1"/>
  <c r="N77" i="4"/>
  <c r="M77" i="4"/>
  <c r="K77" i="4"/>
  <c r="F77" i="4"/>
  <c r="G77" i="4" s="1"/>
  <c r="N76" i="4"/>
  <c r="M76" i="4"/>
  <c r="K76" i="4"/>
  <c r="F76" i="4"/>
  <c r="G76" i="4" s="1"/>
  <c r="N75" i="4"/>
  <c r="M75" i="4"/>
  <c r="K75" i="4"/>
  <c r="F75" i="4"/>
  <c r="G75" i="4" s="1"/>
  <c r="N74" i="4"/>
  <c r="M74" i="4"/>
  <c r="K74" i="4"/>
  <c r="F74" i="4"/>
  <c r="G74" i="4" s="1"/>
  <c r="N73" i="4"/>
  <c r="M73" i="4"/>
  <c r="K73" i="4"/>
  <c r="F73" i="4"/>
  <c r="G73" i="4" s="1"/>
  <c r="N72" i="4"/>
  <c r="M72" i="4"/>
  <c r="K72" i="4"/>
  <c r="F72" i="4"/>
  <c r="G72" i="4" s="1"/>
  <c r="N71" i="4"/>
  <c r="M71" i="4"/>
  <c r="K71" i="4"/>
  <c r="F71" i="4"/>
  <c r="G71" i="4" s="1"/>
  <c r="N70" i="4"/>
  <c r="M70" i="4"/>
  <c r="K70" i="4"/>
  <c r="F70" i="4"/>
  <c r="G70" i="4" s="1"/>
  <c r="N69" i="4"/>
  <c r="M69" i="4"/>
  <c r="K69" i="4"/>
  <c r="F69" i="4"/>
  <c r="G69" i="4" s="1"/>
  <c r="N68" i="4"/>
  <c r="M68" i="4"/>
  <c r="K68" i="4"/>
  <c r="F68" i="4"/>
  <c r="G68" i="4" s="1"/>
  <c r="N67" i="4"/>
  <c r="M67" i="4"/>
  <c r="K67" i="4"/>
  <c r="F67" i="4"/>
  <c r="G67" i="4" s="1"/>
  <c r="N66" i="4"/>
  <c r="M66" i="4"/>
  <c r="K66" i="4"/>
  <c r="F66" i="4"/>
  <c r="G66" i="4" s="1"/>
  <c r="N65" i="4"/>
  <c r="M65" i="4"/>
  <c r="K65" i="4"/>
  <c r="F65" i="4"/>
  <c r="G65" i="4" s="1"/>
  <c r="N64" i="4"/>
  <c r="M64" i="4"/>
  <c r="K64" i="4"/>
  <c r="F64" i="4"/>
  <c r="G64" i="4" s="1"/>
  <c r="N63" i="4"/>
  <c r="M63" i="4"/>
  <c r="K63" i="4"/>
  <c r="F63" i="4"/>
  <c r="G63" i="4" s="1"/>
  <c r="N62" i="4"/>
  <c r="M62" i="4"/>
  <c r="K62" i="4"/>
  <c r="F62" i="4"/>
  <c r="G62" i="4" s="1"/>
  <c r="N61" i="4"/>
  <c r="M61" i="4"/>
  <c r="K61" i="4"/>
  <c r="F61" i="4"/>
  <c r="G61" i="4" s="1"/>
  <c r="N60" i="4"/>
  <c r="M60" i="4"/>
  <c r="K60" i="4"/>
  <c r="F60" i="4"/>
  <c r="G60" i="4" s="1"/>
  <c r="N59" i="4"/>
  <c r="M59" i="4"/>
  <c r="K59" i="4"/>
  <c r="F59" i="4"/>
  <c r="G59" i="4" s="1"/>
  <c r="N58" i="4"/>
  <c r="M58" i="4"/>
  <c r="K58" i="4"/>
  <c r="F58" i="4"/>
  <c r="G58" i="4" s="1"/>
  <c r="N57" i="4"/>
  <c r="M57" i="4"/>
  <c r="K57" i="4"/>
  <c r="F57" i="4"/>
  <c r="G57" i="4" s="1"/>
  <c r="N56" i="4"/>
  <c r="M56" i="4"/>
  <c r="K56" i="4"/>
  <c r="F56" i="4"/>
  <c r="G56" i="4" s="1"/>
  <c r="N55" i="4"/>
  <c r="M55" i="4"/>
  <c r="K55" i="4"/>
  <c r="F55" i="4"/>
  <c r="G55" i="4" s="1"/>
  <c r="N54" i="4"/>
  <c r="M54" i="4"/>
  <c r="K54" i="4"/>
  <c r="F54" i="4"/>
  <c r="G54" i="4" s="1"/>
  <c r="N53" i="4"/>
  <c r="M53" i="4"/>
  <c r="K53" i="4"/>
  <c r="F53" i="4"/>
  <c r="G53" i="4" s="1"/>
  <c r="N52" i="4"/>
  <c r="M52" i="4"/>
  <c r="K52" i="4"/>
  <c r="F52" i="4"/>
  <c r="G52" i="4" s="1"/>
  <c r="N51" i="4"/>
  <c r="M51" i="4"/>
  <c r="K51" i="4"/>
  <c r="F51" i="4"/>
  <c r="G51" i="4" s="1"/>
  <c r="N50" i="4"/>
  <c r="M50" i="4"/>
  <c r="K50" i="4"/>
  <c r="F50" i="4"/>
  <c r="G50" i="4" s="1"/>
  <c r="N49" i="4"/>
  <c r="M49" i="4"/>
  <c r="K49" i="4"/>
  <c r="F49" i="4"/>
  <c r="G49" i="4" s="1"/>
  <c r="N48" i="4"/>
  <c r="M48" i="4"/>
  <c r="K48" i="4"/>
  <c r="F48" i="4"/>
  <c r="G48" i="4" s="1"/>
  <c r="N47" i="4"/>
  <c r="M47" i="4"/>
  <c r="K47" i="4"/>
  <c r="F47" i="4"/>
  <c r="G47" i="4" s="1"/>
  <c r="N46" i="4"/>
  <c r="M46" i="4"/>
  <c r="K46" i="4"/>
  <c r="F46" i="4"/>
  <c r="G46" i="4" s="1"/>
  <c r="N45" i="4"/>
  <c r="M45" i="4"/>
  <c r="K45" i="4"/>
  <c r="F45" i="4"/>
  <c r="G45" i="4" s="1"/>
  <c r="N44" i="4"/>
  <c r="M44" i="4"/>
  <c r="K44" i="4"/>
  <c r="F44" i="4"/>
  <c r="G44" i="4" s="1"/>
  <c r="N43" i="4"/>
  <c r="M43" i="4"/>
  <c r="K43" i="4"/>
  <c r="F43" i="4"/>
  <c r="G43" i="4" s="1"/>
  <c r="N42" i="4"/>
  <c r="M42" i="4"/>
  <c r="K42" i="4"/>
  <c r="F42" i="4"/>
  <c r="G42" i="4" s="1"/>
  <c r="N41" i="4"/>
  <c r="M41" i="4"/>
  <c r="K41" i="4"/>
  <c r="F41" i="4"/>
  <c r="G41" i="4" s="1"/>
  <c r="N40" i="4"/>
  <c r="M40" i="4"/>
  <c r="K40" i="4"/>
  <c r="G40" i="4"/>
  <c r="F40" i="4"/>
  <c r="N39" i="4"/>
  <c r="M39" i="4"/>
  <c r="K39" i="4"/>
  <c r="F39" i="4"/>
  <c r="G39" i="4" s="1"/>
  <c r="N38" i="4"/>
  <c r="M38" i="4"/>
  <c r="K38" i="4"/>
  <c r="F38" i="4"/>
  <c r="G38" i="4" s="1"/>
  <c r="N37" i="4"/>
  <c r="M37" i="4"/>
  <c r="K37" i="4"/>
  <c r="F37" i="4"/>
  <c r="G37" i="4" s="1"/>
  <c r="N36" i="4"/>
  <c r="M36" i="4"/>
  <c r="K36" i="4"/>
  <c r="F36" i="4"/>
  <c r="G36" i="4" s="1"/>
  <c r="N35" i="4"/>
  <c r="M35" i="4"/>
  <c r="K35" i="4"/>
  <c r="F35" i="4"/>
  <c r="G35" i="4" s="1"/>
  <c r="N34" i="4"/>
  <c r="M34" i="4"/>
  <c r="K34" i="4"/>
  <c r="F34" i="4"/>
  <c r="G34" i="4" s="1"/>
  <c r="N33" i="4"/>
  <c r="M33" i="4"/>
  <c r="K33" i="4"/>
  <c r="F33" i="4"/>
  <c r="G33" i="4" s="1"/>
  <c r="N32" i="4"/>
  <c r="M32" i="4"/>
  <c r="K32" i="4"/>
  <c r="F32" i="4"/>
  <c r="G32" i="4" s="1"/>
  <c r="N31" i="4"/>
  <c r="M31" i="4"/>
  <c r="K31" i="4"/>
  <c r="F31" i="4"/>
  <c r="G31" i="4" s="1"/>
  <c r="N30" i="4"/>
  <c r="M30" i="4"/>
  <c r="K30" i="4"/>
  <c r="F30" i="4"/>
  <c r="G30" i="4" s="1"/>
  <c r="N29" i="4"/>
  <c r="M29" i="4"/>
  <c r="K29" i="4"/>
  <c r="F29" i="4"/>
  <c r="G29" i="4" s="1"/>
  <c r="N28" i="4"/>
  <c r="M28" i="4"/>
  <c r="K28" i="4"/>
  <c r="F28" i="4"/>
  <c r="G28" i="4" s="1"/>
  <c r="N27" i="4"/>
  <c r="M27" i="4"/>
  <c r="K27" i="4"/>
  <c r="F27" i="4"/>
  <c r="G27" i="4" s="1"/>
  <c r="N26" i="4"/>
  <c r="M26" i="4"/>
  <c r="K26" i="4"/>
  <c r="F26" i="4"/>
  <c r="G26" i="4" s="1"/>
  <c r="N25" i="4"/>
  <c r="M25" i="4"/>
  <c r="K25" i="4"/>
  <c r="F25" i="4"/>
  <c r="G25" i="4" s="1"/>
  <c r="N24" i="4"/>
  <c r="M24" i="4"/>
  <c r="K24" i="4"/>
  <c r="F24" i="4"/>
  <c r="G24" i="4" s="1"/>
  <c r="N23" i="4"/>
  <c r="M23" i="4"/>
  <c r="K23" i="4"/>
  <c r="F23" i="4"/>
  <c r="G23" i="4" s="1"/>
  <c r="N22" i="4"/>
  <c r="M22" i="4"/>
  <c r="K22" i="4"/>
  <c r="F22" i="4"/>
  <c r="G22" i="4" s="1"/>
  <c r="N21" i="4"/>
  <c r="M21" i="4"/>
  <c r="K21" i="4"/>
  <c r="F21" i="4"/>
  <c r="G21" i="4" s="1"/>
  <c r="N20" i="4"/>
  <c r="M20" i="4"/>
  <c r="K20" i="4"/>
  <c r="F20" i="4"/>
  <c r="G20" i="4" s="1"/>
  <c r="N19" i="4"/>
  <c r="M19" i="4"/>
  <c r="K19" i="4"/>
  <c r="F19" i="4"/>
  <c r="G19" i="4" s="1"/>
  <c r="N18" i="4"/>
  <c r="M18" i="4"/>
  <c r="K18" i="4"/>
  <c r="F18" i="4"/>
  <c r="G18" i="4" s="1"/>
  <c r="N17" i="4"/>
  <c r="M17" i="4"/>
  <c r="K17" i="4"/>
  <c r="F17" i="4"/>
  <c r="G17" i="4" s="1"/>
  <c r="N16" i="4"/>
  <c r="M16" i="4"/>
  <c r="K16" i="4"/>
  <c r="F16" i="4"/>
  <c r="G16" i="4" s="1"/>
  <c r="N15" i="4"/>
  <c r="M15" i="4"/>
  <c r="K15" i="4"/>
  <c r="F15" i="4"/>
  <c r="G15" i="4" s="1"/>
  <c r="N14" i="4"/>
  <c r="M14" i="4"/>
  <c r="K14" i="4"/>
  <c r="F14" i="4"/>
  <c r="G14" i="4" s="1"/>
  <c r="N13" i="4"/>
  <c r="M13" i="4"/>
  <c r="K13" i="4"/>
  <c r="F13" i="4"/>
  <c r="G13" i="4" s="1"/>
  <c r="N12" i="4"/>
  <c r="M12" i="4"/>
  <c r="K12" i="4"/>
  <c r="F12" i="4"/>
  <c r="G12" i="4" s="1"/>
  <c r="N11" i="4"/>
  <c r="M11" i="4"/>
  <c r="K11" i="4"/>
  <c r="F11" i="4"/>
  <c r="G11" i="4" s="1"/>
  <c r="N10" i="4"/>
  <c r="M10" i="4"/>
  <c r="K10" i="4"/>
  <c r="F10" i="4"/>
  <c r="G10" i="4" s="1"/>
  <c r="N9" i="4"/>
  <c r="M9" i="4"/>
  <c r="K9" i="4"/>
  <c r="F9" i="4"/>
  <c r="G9" i="4" s="1"/>
  <c r="N8" i="4"/>
  <c r="M8" i="4"/>
  <c r="K8" i="4"/>
  <c r="F8" i="4"/>
  <c r="G8" i="4" s="1"/>
  <c r="N7" i="4"/>
  <c r="M7" i="4"/>
  <c r="K7" i="4"/>
  <c r="F7" i="4"/>
  <c r="G7" i="4" s="1"/>
  <c r="N6" i="4"/>
  <c r="M6" i="4"/>
  <c r="K6" i="4"/>
  <c r="F6" i="4"/>
  <c r="G6" i="4" s="1"/>
  <c r="N5" i="4"/>
  <c r="M5" i="4"/>
  <c r="K5" i="4"/>
  <c r="F5" i="4"/>
  <c r="G5" i="4" s="1"/>
  <c r="N4" i="4"/>
  <c r="M4" i="4"/>
  <c r="K4" i="4"/>
  <c r="F4" i="4"/>
  <c r="G4" i="4" s="1"/>
  <c r="Q6" i="4"/>
  <c r="H149" i="4" s="1"/>
  <c r="N3" i="4"/>
  <c r="M3" i="4"/>
  <c r="K3" i="4"/>
  <c r="F3" i="4"/>
  <c r="G3" i="4" s="1"/>
  <c r="H23" i="4" l="1"/>
  <c r="H31" i="4"/>
  <c r="H125" i="4"/>
  <c r="H32" i="4"/>
  <c r="H93" i="4"/>
  <c r="H19" i="4"/>
  <c r="H28" i="4"/>
  <c r="H97" i="4"/>
  <c r="H3" i="4"/>
  <c r="H27" i="4"/>
  <c r="H8" i="4"/>
  <c r="H89" i="4"/>
  <c r="H11" i="4"/>
  <c r="H15" i="4"/>
  <c r="H20" i="4"/>
  <c r="H24" i="4"/>
  <c r="H37" i="4"/>
  <c r="H109" i="4"/>
  <c r="H113" i="4"/>
  <c r="H145" i="4"/>
  <c r="H7" i="4"/>
  <c r="H12" i="4"/>
  <c r="H16" i="4"/>
  <c r="H34" i="4"/>
  <c r="H137" i="4"/>
  <c r="H141" i="4"/>
  <c r="H4" i="4"/>
  <c r="H5" i="4"/>
  <c r="H6" i="4"/>
  <c r="H10" i="4"/>
  <c r="H14" i="4"/>
  <c r="H18" i="4"/>
  <c r="H22" i="4"/>
  <c r="H26" i="4"/>
  <c r="H30" i="4"/>
  <c r="H45" i="4"/>
  <c r="H49" i="4"/>
  <c r="H53" i="4"/>
  <c r="H57" i="4"/>
  <c r="H61" i="4"/>
  <c r="H65" i="4"/>
  <c r="H69" i="4"/>
  <c r="H101" i="4"/>
  <c r="H117" i="4"/>
  <c r="H129" i="4"/>
  <c r="H158" i="4"/>
  <c r="H154" i="4"/>
  <c r="H150" i="4"/>
  <c r="H146" i="4"/>
  <c r="H142" i="4"/>
  <c r="H138" i="4"/>
  <c r="H134" i="4"/>
  <c r="H130" i="4"/>
  <c r="H126" i="4"/>
  <c r="H122" i="4"/>
  <c r="H118" i="4"/>
  <c r="H114" i="4"/>
  <c r="H110" i="4"/>
  <c r="H106" i="4"/>
  <c r="H102" i="4"/>
  <c r="H98" i="4"/>
  <c r="H94" i="4"/>
  <c r="H90" i="4"/>
  <c r="H86" i="4"/>
  <c r="H82" i="4"/>
  <c r="H78" i="4"/>
  <c r="H74" i="4"/>
  <c r="H70" i="4"/>
  <c r="H66" i="4"/>
  <c r="H62" i="4"/>
  <c r="H58" i="4"/>
  <c r="H54" i="4"/>
  <c r="H50" i="4"/>
  <c r="H46" i="4"/>
  <c r="H42" i="4"/>
  <c r="H38" i="4"/>
  <c r="H155" i="4"/>
  <c r="H151" i="4"/>
  <c r="H147" i="4"/>
  <c r="H143" i="4"/>
  <c r="H139" i="4"/>
  <c r="H135" i="4"/>
  <c r="H131" i="4"/>
  <c r="H127" i="4"/>
  <c r="H123" i="4"/>
  <c r="H119" i="4"/>
  <c r="H115" i="4"/>
  <c r="H111" i="4"/>
  <c r="H107" i="4"/>
  <c r="H103" i="4"/>
  <c r="H99" i="4"/>
  <c r="H95" i="4"/>
  <c r="H91" i="4"/>
  <c r="H87" i="4"/>
  <c r="H83" i="4"/>
  <c r="H79" i="4"/>
  <c r="H75" i="4"/>
  <c r="H71" i="4"/>
  <c r="H67" i="4"/>
  <c r="H63" i="4"/>
  <c r="H59" i="4"/>
  <c r="H55" i="4"/>
  <c r="H51" i="4"/>
  <c r="H47" i="4"/>
  <c r="H43" i="4"/>
  <c r="H39" i="4"/>
  <c r="H35" i="4"/>
  <c r="H156" i="4"/>
  <c r="H152" i="4"/>
  <c r="H148" i="4"/>
  <c r="H144" i="4"/>
  <c r="H140" i="4"/>
  <c r="H136" i="4"/>
  <c r="H132" i="4"/>
  <c r="H128" i="4"/>
  <c r="H124" i="4"/>
  <c r="H120" i="4"/>
  <c r="H116" i="4"/>
  <c r="H112" i="4"/>
  <c r="H108" i="4"/>
  <c r="H104" i="4"/>
  <c r="H100" i="4"/>
  <c r="H96" i="4"/>
  <c r="H92" i="4"/>
  <c r="H88" i="4"/>
  <c r="H84" i="4"/>
  <c r="H80" i="4"/>
  <c r="H76" i="4"/>
  <c r="H72" i="4"/>
  <c r="H68" i="4"/>
  <c r="H64" i="4"/>
  <c r="H60" i="4"/>
  <c r="H56" i="4"/>
  <c r="H52" i="4"/>
  <c r="H48" i="4"/>
  <c r="H44" i="4"/>
  <c r="H40" i="4"/>
  <c r="H36" i="4"/>
  <c r="Q7" i="4"/>
  <c r="Q8" i="4" s="1"/>
  <c r="I20" i="4" s="1"/>
  <c r="H9" i="4"/>
  <c r="H13" i="4"/>
  <c r="H17" i="4"/>
  <c r="H21" i="4"/>
  <c r="H25" i="4"/>
  <c r="H29" i="4"/>
  <c r="H33" i="4"/>
  <c r="H41" i="4"/>
  <c r="H73" i="4"/>
  <c r="H77" i="4"/>
  <c r="H81" i="4"/>
  <c r="H85" i="4"/>
  <c r="I91" i="4"/>
  <c r="H105" i="4"/>
  <c r="H121" i="4"/>
  <c r="H133" i="4"/>
  <c r="H153" i="4"/>
  <c r="H157" i="4"/>
  <c r="I111" i="4" l="1"/>
  <c r="S9" i="4" a="1"/>
  <c r="S9" i="4" s="1"/>
  <c r="I143" i="4"/>
  <c r="I109" i="4"/>
  <c r="I125" i="4"/>
  <c r="I147" i="4"/>
  <c r="I95" i="4"/>
  <c r="I37" i="4"/>
  <c r="I140" i="4"/>
  <c r="I124" i="4"/>
  <c r="I108" i="4"/>
  <c r="I89" i="4"/>
  <c r="I137" i="4"/>
  <c r="I88" i="4"/>
  <c r="I96" i="4"/>
  <c r="I104" i="4"/>
  <c r="I53" i="4"/>
  <c r="I133" i="4"/>
  <c r="I142" i="4"/>
  <c r="I67" i="4"/>
  <c r="I145" i="4"/>
  <c r="I9" i="4"/>
  <c r="I17" i="4"/>
  <c r="I84" i="4"/>
  <c r="I35" i="4"/>
  <c r="I94" i="4"/>
  <c r="I28" i="4"/>
  <c r="I72" i="4"/>
  <c r="I40" i="4"/>
  <c r="I129" i="4"/>
  <c r="I148" i="4"/>
  <c r="I157" i="4"/>
  <c r="I80" i="4"/>
  <c r="I36" i="4"/>
  <c r="I79" i="4"/>
  <c r="I11" i="4"/>
  <c r="I113" i="4"/>
  <c r="I68" i="4"/>
  <c r="I45" i="4"/>
  <c r="I23" i="4"/>
  <c r="I14" i="4"/>
  <c r="I59" i="4"/>
  <c r="I64" i="4"/>
  <c r="I13" i="4"/>
  <c r="I156" i="4"/>
  <c r="I87" i="4"/>
  <c r="I77" i="4"/>
  <c r="I63" i="4"/>
  <c r="I155" i="4"/>
  <c r="I112" i="4"/>
  <c r="I62" i="4"/>
  <c r="I44" i="4"/>
  <c r="I12" i="4"/>
  <c r="I58" i="4"/>
  <c r="I29" i="4"/>
  <c r="I57" i="4"/>
  <c r="I136" i="4"/>
  <c r="I105" i="4"/>
  <c r="I85" i="4"/>
  <c r="I76" i="4"/>
  <c r="I152" i="4"/>
  <c r="I39" i="4"/>
  <c r="I141" i="4"/>
  <c r="I97" i="4"/>
  <c r="I54" i="4"/>
  <c r="I120" i="4"/>
  <c r="I56" i="4"/>
  <c r="I22" i="4"/>
  <c r="I149" i="4"/>
  <c r="I10" i="4"/>
  <c r="I75" i="4"/>
  <c r="I139" i="4"/>
  <c r="I135" i="4"/>
  <c r="I131" i="4"/>
  <c r="I127" i="4"/>
  <c r="I123" i="4"/>
  <c r="I119" i="4"/>
  <c r="I115" i="4"/>
  <c r="I107" i="4"/>
  <c r="I99" i="4"/>
  <c r="I130" i="4"/>
  <c r="I118" i="4"/>
  <c r="I114" i="4"/>
  <c r="I98" i="4"/>
  <c r="I126" i="4"/>
  <c r="I110" i="4"/>
  <c r="I90" i="4"/>
  <c r="I122" i="4"/>
  <c r="I74" i="4"/>
  <c r="I34" i="4"/>
  <c r="I134" i="4"/>
  <c r="I78" i="4"/>
  <c r="I106" i="4"/>
  <c r="I102" i="4"/>
  <c r="I32" i="4"/>
  <c r="I25" i="4"/>
  <c r="I42" i="4"/>
  <c r="I24" i="4"/>
  <c r="I154" i="4"/>
  <c r="I70" i="4"/>
  <c r="I16" i="4"/>
  <c r="I86" i="4"/>
  <c r="I82" i="4"/>
  <c r="I8" i="4"/>
  <c r="I158" i="4"/>
  <c r="I153" i="4"/>
  <c r="I121" i="4"/>
  <c r="I81" i="4"/>
  <c r="I73" i="4"/>
  <c r="I33" i="4"/>
  <c r="I93" i="4"/>
  <c r="I55" i="4"/>
  <c r="I27" i="4"/>
  <c r="I151" i="4"/>
  <c r="I117" i="4"/>
  <c r="I101" i="4"/>
  <c r="I83" i="4"/>
  <c r="I61" i="4"/>
  <c r="I52" i="4"/>
  <c r="I138" i="4"/>
  <c r="I30" i="4"/>
  <c r="I5" i="4"/>
  <c r="I50" i="4"/>
  <c r="I7" i="4"/>
  <c r="I132" i="4"/>
  <c r="I51" i="4"/>
  <c r="I18" i="4"/>
  <c r="I144" i="4"/>
  <c r="I49" i="4"/>
  <c r="I6" i="4"/>
  <c r="I103" i="4"/>
  <c r="I38" i="4"/>
  <c r="I41" i="4"/>
  <c r="I92" i="4"/>
  <c r="I47" i="4"/>
  <c r="I19" i="4"/>
  <c r="I146" i="4"/>
  <c r="I116" i="4"/>
  <c r="I100" i="4"/>
  <c r="I69" i="4"/>
  <c r="I60" i="4"/>
  <c r="I46" i="4"/>
  <c r="I128" i="4"/>
  <c r="I26" i="4"/>
  <c r="I4" i="4"/>
  <c r="I66" i="4"/>
  <c r="I48" i="4"/>
  <c r="I3" i="4"/>
  <c r="I71" i="4"/>
  <c r="I43" i="4"/>
  <c r="I15" i="4"/>
  <c r="I150" i="4"/>
  <c r="I65" i="4"/>
  <c r="I21" i="4"/>
  <c r="I31" i="4"/>
  <c r="S13" i="4" l="1" a="1"/>
  <c r="S13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<sst xmlns="http://schemas.openxmlformats.org/spreadsheetml/2006/main" count="40" uniqueCount="31">
  <si>
    <t>X</t>
  </si>
  <si>
    <t>Y</t>
  </si>
  <si>
    <t>COP</t>
  </si>
  <si>
    <t>X2</t>
  </si>
  <si>
    <t>Y2</t>
  </si>
  <si>
    <t>X*Y</t>
  </si>
  <si>
    <t>Capacity (KW)</t>
  </si>
  <si>
    <t>Power Input (kW)</t>
  </si>
  <si>
    <t>(Capacity/pwrInput)</t>
  </si>
  <si>
    <t>EIR</t>
  </si>
  <si>
    <t>(Capacidad / CapacidadReferencia)</t>
  </si>
  <si>
    <t>(EIR en ese punto) / (EIRReferencia)</t>
  </si>
  <si>
    <t>Reference Capacity</t>
  </si>
  <si>
    <t>Reference COP (RefCapacity/pwrInput)</t>
  </si>
  <si>
    <t>EIR referencia</t>
  </si>
  <si>
    <t>CapCurveFuncTemp</t>
  </si>
  <si>
    <t>C6</t>
  </si>
  <si>
    <t>C5</t>
  </si>
  <si>
    <t>C4</t>
  </si>
  <si>
    <t>C3</t>
  </si>
  <si>
    <t>C2</t>
  </si>
  <si>
    <t>C1</t>
  </si>
  <si>
    <t>EIRCurveFuncTemp</t>
  </si>
  <si>
    <t>CAPRatio f(x.y)</t>
  </si>
  <si>
    <t>EIRRatio f(x.y)</t>
  </si>
  <si>
    <t>Outdoor Temp (°C)</t>
  </si>
  <si>
    <t>Indoor Temp (°C)</t>
  </si>
  <si>
    <t>f(x.y)=C1+C2X+C3X2+C4Y+C5Y2+C6XY</t>
  </si>
  <si>
    <t>f(x)=C1+C2X+C3X2</t>
  </si>
  <si>
    <t>EIRCurveFuncPLR (generica)</t>
  </si>
  <si>
    <t>Punto de referencia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</si>
</sst>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4" fontId="1" fillId="0" borderId="0" xfId="0" applyNumberFormat="1" applyFont="1" applyAlignment="1">
      <alignment horizontal="left"/>
    </xf>
    <xf numFmtId="4" fontId="1" fillId="0" borderId="0" xfId="0" applyNumberFormat="1" applyFont="1"/>
    <xf numFmtId="0" fontId="0" fillId="0" borderId="0" xfId="0" applyAlignment="1">
      <alignment vertical="center"/>
    </xf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0" xfId="0" applyFill="1"/>
    <xf numFmtId="0" fontId="4" fillId="3" borderId="0" xfId="0" applyFont="1" applyFill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3" fillId="4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0" xfId="0" applyFont="1" applyFill="1"/>
    <xf numFmtId="0" fontId="2" fillId="4" borderId="1" xfId="0" applyFont="1" applyFill="1" applyBorder="1"/>
    <xf numFmtId="0" fontId="2" fillId="4" borderId="2" xfId="0" applyFont="1" applyFill="1" applyBorder="1"/>
    <xf numFmtId="0" fontId="2" fillId="4" borderId="3" xfId="0" applyFont="1" applyFill="1" applyBorder="1"/>
    <xf numFmtId="0" fontId="2" fillId="4" borderId="4" xfId="0" applyFont="1" applyFill="1" applyBorder="1"/>
    <xf numFmtId="0" fontId="2" fillId="4" borderId="0" xfId="0" applyFont="1" applyFill="1" applyBorder="1"/>
    <xf numFmtId="0" fontId="2" fillId="4" borderId="5" xfId="0" applyFont="1" applyFill="1" applyBorder="1"/>
    <xf numFmtId="0" fontId="0" fillId="0" borderId="6" xfId="0" applyBorder="1"/>
    <xf numFmtId="0" fontId="3" fillId="4" borderId="1" xfId="0" applyFont="1" applyFill="1" applyBorder="1"/>
    <xf numFmtId="0" fontId="0" fillId="4" borderId="2" xfId="0" applyFill="1" applyBorder="1"/>
    <xf numFmtId="0" fontId="0" fillId="4" borderId="3" xfId="0" applyFill="1" applyBorder="1"/>
    <xf numFmtId="0" fontId="0" fillId="0" borderId="7" xfId="0" applyBorder="1"/>
    <xf numFmtId="0" fontId="0" fillId="0" borderId="8" xfId="0" applyBorder="1"/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AB997"/>
  <sheetViews>
    <sheetView tabSelected="1" zoomScale="70" zoomScaleNormal="70" workbookViewId="0">
      <selection activeCell="V25" sqref="V25"/>
    </sheetView>
  </sheetViews>
  <sheetFormatPr baseColWidth="10" defaultColWidth="12.6640625" defaultRowHeight="15.75" customHeight="1" x14ac:dyDescent="0.25"/>
  <cols>
    <col min="1" max="1" width="1.44140625" customWidth="1"/>
    <col min="2" max="2" width="18" bestFit="1" customWidth="1"/>
    <col min="3" max="3" width="16.33203125" bestFit="1" customWidth="1"/>
    <col min="4" max="4" width="13.6640625" bestFit="1" customWidth="1"/>
    <col min="5" max="5" width="16.44140625" bestFit="1" customWidth="1"/>
    <col min="6" max="6" width="18.6640625" bestFit="1" customWidth="1"/>
    <col min="7" max="7" width="13.88671875" customWidth="1"/>
    <col min="8" max="8" width="33.44140625" bestFit="1" customWidth="1"/>
    <col min="9" max="9" width="31.6640625" bestFit="1" customWidth="1"/>
    <col min="10" max="10" width="17.5546875" bestFit="1" customWidth="1"/>
    <col min="11" max="11" width="5.109375" bestFit="1" customWidth="1"/>
    <col min="12" max="12" width="16.33203125" bestFit="1" customWidth="1"/>
    <col min="13" max="13" width="9.77734375" customWidth="1"/>
    <col min="14" max="14" width="7.6640625" customWidth="1"/>
    <col min="15" max="15" width="9" customWidth="1"/>
    <col min="16" max="16" width="35.5546875" bestFit="1" customWidth="1"/>
    <col min="17" max="17" width="28" customWidth="1"/>
    <col min="18" max="18" width="17.6640625" customWidth="1"/>
    <col min="19" max="19" width="16.21875" customWidth="1"/>
    <col min="20" max="20" width="13.88671875" customWidth="1"/>
  </cols>
  <sheetData>
    <row r="1" spans="2:24" x14ac:dyDescent="0.25">
      <c r="B1" s="20" t="s">
        <v>0</v>
      </c>
      <c r="C1" s="20" t="s">
        <v>1</v>
      </c>
      <c r="D1" s="20"/>
      <c r="E1" s="20"/>
      <c r="F1" s="20" t="s">
        <v>2</v>
      </c>
      <c r="G1" s="20" t="s">
        <v>9</v>
      </c>
      <c r="H1" s="20" t="s">
        <v>23</v>
      </c>
      <c r="I1" s="20" t="s">
        <v>24</v>
      </c>
      <c r="J1" s="20" t="str">
        <f>B1</f>
        <v>X</v>
      </c>
      <c r="K1" s="20" t="s">
        <v>3</v>
      </c>
      <c r="L1" s="20" t="str">
        <f>C1</f>
        <v>Y</v>
      </c>
      <c r="M1" s="20" t="s">
        <v>4</v>
      </c>
      <c r="N1" s="20" t="s">
        <v>5</v>
      </c>
      <c r="O1" s="2"/>
      <c r="P1" s="2"/>
      <c r="Q1" s="3"/>
    </row>
    <row r="2" spans="2:24" x14ac:dyDescent="0.25">
      <c r="B2" s="21" t="s">
        <v>25</v>
      </c>
      <c r="C2" s="22" t="s">
        <v>26</v>
      </c>
      <c r="D2" s="22" t="s">
        <v>6</v>
      </c>
      <c r="E2" s="23" t="s">
        <v>7</v>
      </c>
      <c r="F2" s="20" t="s">
        <v>8</v>
      </c>
      <c r="G2" s="20"/>
      <c r="H2" s="20" t="s">
        <v>10</v>
      </c>
      <c r="I2" s="20" t="s">
        <v>11</v>
      </c>
      <c r="J2" s="20" t="str">
        <f t="shared" ref="J2:J65" si="0">B2</f>
        <v>Outdoor Temp (°C)</v>
      </c>
      <c r="K2" s="20"/>
      <c r="L2" s="20" t="str">
        <f t="shared" ref="L2:L65" si="1">C2</f>
        <v>Indoor Temp (°C)</v>
      </c>
      <c r="M2" s="20"/>
      <c r="N2" s="20"/>
      <c r="O2" s="2"/>
    </row>
    <row r="3" spans="2:24" x14ac:dyDescent="0.25">
      <c r="B3" s="6">
        <v>-30</v>
      </c>
      <c r="C3" s="7">
        <v>25</v>
      </c>
      <c r="D3" s="7">
        <v>8.4600000000000009</v>
      </c>
      <c r="E3" s="8">
        <v>3.82</v>
      </c>
      <c r="F3" s="1">
        <f t="shared" ref="F3:F158" si="2">D3/E3</f>
        <v>2.2146596858638747</v>
      </c>
      <c r="G3" s="1">
        <f t="shared" ref="G3:G158" si="3">1/F3</f>
        <v>0.45153664302600466</v>
      </c>
      <c r="H3" s="1">
        <f>D3/$Q$6</f>
        <v>0.60428571428571431</v>
      </c>
      <c r="I3" s="1">
        <f>G3/$Q$8</f>
        <v>1.7857381362610356</v>
      </c>
      <c r="J3" s="1">
        <f t="shared" si="0"/>
        <v>-30</v>
      </c>
      <c r="K3" s="1">
        <f t="shared" ref="K3:K158" si="4">(B3*B3)</f>
        <v>900</v>
      </c>
      <c r="L3" s="1">
        <f t="shared" si="1"/>
        <v>25</v>
      </c>
      <c r="M3" s="1">
        <f t="shared" ref="M3:M158" si="5">C3*C3</f>
        <v>625</v>
      </c>
      <c r="N3" s="1">
        <f t="shared" ref="N3:N158" si="6">B3*C3</f>
        <v>-750</v>
      </c>
      <c r="O3" s="1"/>
      <c r="T3" s="1"/>
    </row>
    <row r="4" spans="2:24" ht="13.2" x14ac:dyDescent="0.25">
      <c r="B4" s="6">
        <v>-30</v>
      </c>
      <c r="C4" s="7">
        <v>30</v>
      </c>
      <c r="D4" s="7">
        <v>8.57</v>
      </c>
      <c r="E4" s="8">
        <v>4.24</v>
      </c>
      <c r="F4" s="1">
        <f t="shared" si="2"/>
        <v>2.0212264150943398</v>
      </c>
      <c r="G4" s="1">
        <f t="shared" si="3"/>
        <v>0.4947491248541423</v>
      </c>
      <c r="H4" s="1">
        <f>D4/$Q$6</f>
        <v>0.61214285714285721</v>
      </c>
      <c r="I4" s="1">
        <f>G4/$Q$8</f>
        <v>1.9566349570502803</v>
      </c>
      <c r="J4" s="1">
        <f t="shared" si="0"/>
        <v>-30</v>
      </c>
      <c r="K4" s="1">
        <f t="shared" si="4"/>
        <v>900</v>
      </c>
      <c r="L4" s="1">
        <f t="shared" si="1"/>
        <v>30</v>
      </c>
      <c r="M4" s="1">
        <f t="shared" si="5"/>
        <v>900</v>
      </c>
      <c r="N4" s="1">
        <f t="shared" si="6"/>
        <v>-900</v>
      </c>
      <c r="O4" s="1"/>
    </row>
    <row r="5" spans="2:24" ht="15.75" customHeight="1" x14ac:dyDescent="0.25">
      <c r="B5" s="6">
        <v>-30</v>
      </c>
      <c r="C5" s="7">
        <v>35</v>
      </c>
      <c r="D5" s="7">
        <v>8.67</v>
      </c>
      <c r="E5" s="8">
        <v>4.75</v>
      </c>
      <c r="F5" s="1">
        <f t="shared" si="2"/>
        <v>1.8252631578947369</v>
      </c>
      <c r="G5" s="1">
        <f t="shared" si="3"/>
        <v>0.54786620530565167</v>
      </c>
      <c r="H5" s="1">
        <f>D5/$Q$6</f>
        <v>0.61928571428571433</v>
      </c>
      <c r="I5" s="1">
        <f>G5/$Q$8</f>
        <v>2.1667025068585097</v>
      </c>
      <c r="J5" s="1">
        <f t="shared" si="0"/>
        <v>-30</v>
      </c>
      <c r="K5" s="1">
        <f t="shared" si="4"/>
        <v>900</v>
      </c>
      <c r="L5" s="1">
        <f t="shared" si="1"/>
        <v>35</v>
      </c>
      <c r="M5" s="1">
        <f t="shared" si="5"/>
        <v>1225</v>
      </c>
      <c r="N5" s="1">
        <f t="shared" si="6"/>
        <v>-1050</v>
      </c>
      <c r="P5" s="2"/>
      <c r="Q5" s="3"/>
      <c r="S5" s="37" t="s">
        <v>27</v>
      </c>
      <c r="T5" s="37"/>
      <c r="U5" s="37"/>
      <c r="V5" s="37"/>
      <c r="W5" s="37"/>
      <c r="X5" s="37"/>
    </row>
    <row r="6" spans="2:24" ht="13.2" x14ac:dyDescent="0.25">
      <c r="B6" s="6">
        <v>-30</v>
      </c>
      <c r="C6" s="7">
        <v>40</v>
      </c>
      <c r="D6" s="7">
        <v>9.0500000000000007</v>
      </c>
      <c r="E6" s="8">
        <v>5.27</v>
      </c>
      <c r="F6" s="1">
        <f t="shared" si="2"/>
        <v>1.7172675521821634</v>
      </c>
      <c r="G6" s="1">
        <f t="shared" si="3"/>
        <v>0.58232044198895017</v>
      </c>
      <c r="H6" s="1">
        <f>D6/$Q$6</f>
        <v>0.64642857142857146</v>
      </c>
      <c r="I6" s="1">
        <f>G6/$Q$8</f>
        <v>2.3029621999563004</v>
      </c>
      <c r="J6" s="1">
        <f t="shared" si="0"/>
        <v>-30</v>
      </c>
      <c r="K6" s="1">
        <f t="shared" si="4"/>
        <v>900</v>
      </c>
      <c r="L6" s="1">
        <f t="shared" si="1"/>
        <v>40</v>
      </c>
      <c r="M6" s="1">
        <f t="shared" si="5"/>
        <v>1600</v>
      </c>
      <c r="N6" s="1">
        <f t="shared" si="6"/>
        <v>-1200</v>
      </c>
      <c r="P6" s="24" t="s">
        <v>12</v>
      </c>
      <c r="Q6" s="1">
        <f>D83</f>
        <v>14</v>
      </c>
      <c r="S6" s="38"/>
      <c r="T6" s="38"/>
      <c r="U6" s="38"/>
      <c r="V6" s="38"/>
      <c r="W6" s="38"/>
      <c r="X6" s="38"/>
    </row>
    <row r="7" spans="2:24" ht="13.2" x14ac:dyDescent="0.25">
      <c r="B7" s="6">
        <v>-30</v>
      </c>
      <c r="C7" s="7">
        <v>45</v>
      </c>
      <c r="D7" s="7">
        <v>9.42</v>
      </c>
      <c r="E7" s="8">
        <v>5.87</v>
      </c>
      <c r="F7" s="1">
        <f t="shared" si="2"/>
        <v>1.604770017035775</v>
      </c>
      <c r="G7" s="1">
        <f t="shared" si="3"/>
        <v>0.62314225053078565</v>
      </c>
      <c r="H7" s="1">
        <f>D7/$Q$6</f>
        <v>0.67285714285714282</v>
      </c>
      <c r="I7" s="1">
        <f>G7/$Q$8</f>
        <v>2.464404380630226</v>
      </c>
      <c r="J7" s="1">
        <f t="shared" si="0"/>
        <v>-30</v>
      </c>
      <c r="K7" s="1">
        <f t="shared" si="4"/>
        <v>900</v>
      </c>
      <c r="L7" s="1">
        <f t="shared" si="1"/>
        <v>45</v>
      </c>
      <c r="M7" s="1">
        <f t="shared" si="5"/>
        <v>2025</v>
      </c>
      <c r="N7" s="1">
        <f t="shared" si="6"/>
        <v>-1350</v>
      </c>
      <c r="P7" s="24" t="s">
        <v>13</v>
      </c>
      <c r="Q7" s="1">
        <f>Q6/E83</f>
        <v>3.9548022598870056</v>
      </c>
      <c r="S7" s="25" t="s">
        <v>15</v>
      </c>
      <c r="T7" s="26"/>
      <c r="U7" s="26"/>
      <c r="V7" s="26"/>
      <c r="W7" s="26"/>
      <c r="X7" s="27"/>
    </row>
    <row r="8" spans="2:24" x14ac:dyDescent="0.25">
      <c r="B8" s="6">
        <v>-30</v>
      </c>
      <c r="C8" s="7">
        <v>50</v>
      </c>
      <c r="D8" s="7">
        <v>9.8000000000000007</v>
      </c>
      <c r="E8" s="8">
        <v>6.35</v>
      </c>
      <c r="F8" s="1">
        <f t="shared" si="2"/>
        <v>1.5433070866141734</v>
      </c>
      <c r="G8" s="1">
        <f t="shared" si="3"/>
        <v>0.64795918367346927</v>
      </c>
      <c r="H8" s="1">
        <f>D8/$Q$6</f>
        <v>0.70000000000000007</v>
      </c>
      <c r="I8" s="1">
        <f>G8/$Q$8</f>
        <v>2.562550443906376</v>
      </c>
      <c r="J8" s="1">
        <f t="shared" si="0"/>
        <v>-30</v>
      </c>
      <c r="K8" s="1">
        <f t="shared" si="4"/>
        <v>900</v>
      </c>
      <c r="L8" s="1">
        <f t="shared" si="1"/>
        <v>50</v>
      </c>
      <c r="M8" s="1">
        <f t="shared" si="5"/>
        <v>2500</v>
      </c>
      <c r="N8" s="1">
        <f t="shared" si="6"/>
        <v>-1500</v>
      </c>
      <c r="P8" s="24" t="s">
        <v>14</v>
      </c>
      <c r="Q8" s="1">
        <f>1/Q7</f>
        <v>0.25285714285714284</v>
      </c>
      <c r="S8" s="28" t="s">
        <v>16</v>
      </c>
      <c r="T8" s="29" t="s">
        <v>17</v>
      </c>
      <c r="U8" s="29" t="s">
        <v>18</v>
      </c>
      <c r="V8" s="29" t="s">
        <v>19</v>
      </c>
      <c r="W8" s="29" t="s">
        <v>20</v>
      </c>
      <c r="X8" s="30" t="s">
        <v>21</v>
      </c>
    </row>
    <row r="9" spans="2:24" x14ac:dyDescent="0.25">
      <c r="B9" s="6">
        <v>-30</v>
      </c>
      <c r="C9" s="7">
        <v>55</v>
      </c>
      <c r="D9" s="7">
        <v>10.07</v>
      </c>
      <c r="E9" s="8">
        <v>6.71</v>
      </c>
      <c r="F9" s="1">
        <f t="shared" si="2"/>
        <v>1.5007451564828616</v>
      </c>
      <c r="G9" s="1">
        <f t="shared" si="3"/>
        <v>0.66633565044687182</v>
      </c>
      <c r="H9" s="1">
        <f>D9/$Q$6</f>
        <v>0.71928571428571431</v>
      </c>
      <c r="I9" s="1">
        <f>G9/$Q$8</f>
        <v>2.6352257362305669</v>
      </c>
      <c r="J9" s="1">
        <f t="shared" si="0"/>
        <v>-30</v>
      </c>
      <c r="K9" s="1">
        <f t="shared" si="4"/>
        <v>900</v>
      </c>
      <c r="L9" s="1">
        <f t="shared" si="1"/>
        <v>55</v>
      </c>
      <c r="M9" s="1">
        <f t="shared" si="5"/>
        <v>3025</v>
      </c>
      <c r="N9" s="1">
        <f t="shared" si="6"/>
        <v>-1650</v>
      </c>
      <c r="S9" s="31" cm="1">
        <f t="array" ref="S9:X9">LINEST(H3:H158,J3:N158,TRUE,FALSE)</f>
        <v>1.2751739496961748E-4</v>
      </c>
      <c r="T9" s="10">
        <v>1.837471201342937E-5</v>
      </c>
      <c r="U9" s="10">
        <v>-8.1907002715149435E-4</v>
      </c>
      <c r="V9" s="10">
        <v>-8.1049482500421378E-6</v>
      </c>
      <c r="W9" s="10">
        <v>1.9476839033584076E-3</v>
      </c>
      <c r="X9" s="11">
        <v>1.0117869749589372</v>
      </c>
    </row>
    <row r="10" spans="2:24" x14ac:dyDescent="0.25">
      <c r="B10" s="6">
        <v>-30</v>
      </c>
      <c r="C10" s="7">
        <v>60</v>
      </c>
      <c r="D10" s="7">
        <v>10.1</v>
      </c>
      <c r="E10" s="8">
        <v>7.09</v>
      </c>
      <c r="F10" s="1">
        <f t="shared" si="2"/>
        <v>1.4245416078984485</v>
      </c>
      <c r="G10" s="1">
        <f t="shared" si="3"/>
        <v>0.70198019801980194</v>
      </c>
      <c r="H10" s="1">
        <f>D10/$Q$6</f>
        <v>0.72142857142857142</v>
      </c>
      <c r="I10" s="1">
        <f>G10/$Q$8</f>
        <v>2.7761928735246406</v>
      </c>
      <c r="J10" s="1">
        <f t="shared" si="0"/>
        <v>-30</v>
      </c>
      <c r="K10" s="1">
        <f t="shared" si="4"/>
        <v>900</v>
      </c>
      <c r="L10" s="1">
        <f t="shared" si="1"/>
        <v>60</v>
      </c>
      <c r="M10" s="1">
        <f t="shared" si="5"/>
        <v>3600</v>
      </c>
      <c r="N10" s="1">
        <f t="shared" si="6"/>
        <v>-1800</v>
      </c>
    </row>
    <row r="11" spans="2:24" x14ac:dyDescent="0.25">
      <c r="B11" s="6">
        <v>-25</v>
      </c>
      <c r="C11" s="7">
        <v>25</v>
      </c>
      <c r="D11" s="7">
        <v>12.25</v>
      </c>
      <c r="E11" s="8">
        <v>5.53</v>
      </c>
      <c r="F11" s="1">
        <f t="shared" si="2"/>
        <v>2.2151898734177213</v>
      </c>
      <c r="G11" s="1">
        <f t="shared" si="3"/>
        <v>0.45142857142857146</v>
      </c>
      <c r="H11" s="1">
        <f>D11/$Q$6</f>
        <v>0.875</v>
      </c>
      <c r="I11" s="1">
        <f>G11/$Q$8</f>
        <v>1.785310734463277</v>
      </c>
      <c r="J11" s="1">
        <f t="shared" si="0"/>
        <v>-25</v>
      </c>
      <c r="K11" s="1">
        <f t="shared" si="4"/>
        <v>625</v>
      </c>
      <c r="L11" s="1">
        <f t="shared" si="1"/>
        <v>25</v>
      </c>
      <c r="M11" s="1">
        <f t="shared" si="5"/>
        <v>625</v>
      </c>
      <c r="N11" s="1">
        <f t="shared" si="6"/>
        <v>-625</v>
      </c>
      <c r="S11" s="25" t="s">
        <v>22</v>
      </c>
      <c r="T11" s="26"/>
      <c r="U11" s="26"/>
      <c r="V11" s="26"/>
      <c r="W11" s="26"/>
      <c r="X11" s="27"/>
    </row>
    <row r="12" spans="2:24" x14ac:dyDescent="0.25">
      <c r="B12" s="6">
        <v>-25</v>
      </c>
      <c r="C12" s="7">
        <v>30</v>
      </c>
      <c r="D12" s="7">
        <v>12.68</v>
      </c>
      <c r="E12" s="8">
        <v>5.99</v>
      </c>
      <c r="F12" s="1">
        <f t="shared" si="2"/>
        <v>2.1168614357262103</v>
      </c>
      <c r="G12" s="1">
        <f t="shared" si="3"/>
        <v>0.47239747634069401</v>
      </c>
      <c r="H12" s="1">
        <f>D12/$Q$6</f>
        <v>0.90571428571428569</v>
      </c>
      <c r="I12" s="1">
        <f>G12/$Q$8</f>
        <v>1.8682386069970951</v>
      </c>
      <c r="J12" s="1">
        <f t="shared" si="0"/>
        <v>-25</v>
      </c>
      <c r="K12" s="1">
        <f t="shared" si="4"/>
        <v>625</v>
      </c>
      <c r="L12" s="1">
        <f t="shared" si="1"/>
        <v>30</v>
      </c>
      <c r="M12" s="1">
        <f t="shared" si="5"/>
        <v>900</v>
      </c>
      <c r="N12" s="1">
        <f t="shared" si="6"/>
        <v>-750</v>
      </c>
      <c r="S12" s="28" t="s">
        <v>16</v>
      </c>
      <c r="T12" s="29" t="s">
        <v>17</v>
      </c>
      <c r="U12" s="29" t="s">
        <v>18</v>
      </c>
      <c r="V12" s="29" t="s">
        <v>19</v>
      </c>
      <c r="W12" s="29" t="s">
        <v>20</v>
      </c>
      <c r="X12" s="30" t="s">
        <v>21</v>
      </c>
    </row>
    <row r="13" spans="2:24" x14ac:dyDescent="0.25">
      <c r="B13" s="6">
        <v>-25</v>
      </c>
      <c r="C13" s="7">
        <v>35</v>
      </c>
      <c r="D13" s="7">
        <v>13.11</v>
      </c>
      <c r="E13" s="8">
        <v>6.48</v>
      </c>
      <c r="F13" s="1">
        <f t="shared" si="2"/>
        <v>2.0231481481481479</v>
      </c>
      <c r="G13" s="1">
        <f t="shared" si="3"/>
        <v>0.49427917620137307</v>
      </c>
      <c r="H13" s="1">
        <f>D13/$Q$6</f>
        <v>0.93642857142857139</v>
      </c>
      <c r="I13" s="1">
        <f>G13/$Q$8</f>
        <v>1.9547764030562778</v>
      </c>
      <c r="J13" s="1">
        <f t="shared" si="0"/>
        <v>-25</v>
      </c>
      <c r="K13" s="1">
        <f t="shared" si="4"/>
        <v>625</v>
      </c>
      <c r="L13" s="1">
        <f t="shared" si="1"/>
        <v>35</v>
      </c>
      <c r="M13" s="1">
        <f t="shared" si="5"/>
        <v>1225</v>
      </c>
      <c r="N13" s="1">
        <f t="shared" si="6"/>
        <v>-875</v>
      </c>
      <c r="S13" s="31" cm="1">
        <f t="array" ref="S13:X13">LINEST(I3:I158,J3:N158,TRUE,FALSE)</f>
        <v>-1.2816525660121672E-4</v>
      </c>
      <c r="T13" s="10">
        <v>1.7959535750676299E-4</v>
      </c>
      <c r="U13" s="10">
        <v>4.1285497154814861E-3</v>
      </c>
      <c r="V13" s="10">
        <v>2.9784986644276409E-4</v>
      </c>
      <c r="W13" s="10">
        <v>-2.4678885733502409E-2</v>
      </c>
      <c r="X13" s="11">
        <v>0.68286367374573353</v>
      </c>
    </row>
    <row r="14" spans="2:24" x14ac:dyDescent="0.25">
      <c r="B14" s="6">
        <v>-25</v>
      </c>
      <c r="C14" s="7">
        <v>40</v>
      </c>
      <c r="D14" s="7">
        <v>12.96</v>
      </c>
      <c r="E14" s="8">
        <v>6.79</v>
      </c>
      <c r="F14" s="1">
        <f t="shared" si="2"/>
        <v>1.9086892488954346</v>
      </c>
      <c r="G14" s="1">
        <f t="shared" si="3"/>
        <v>0.52391975308641969</v>
      </c>
      <c r="H14" s="1">
        <f>D14/$Q$6</f>
        <v>0.92571428571428582</v>
      </c>
      <c r="I14" s="1">
        <f>G14/$Q$8</f>
        <v>2.0719990235056147</v>
      </c>
      <c r="J14" s="1">
        <f t="shared" si="0"/>
        <v>-25</v>
      </c>
      <c r="K14" s="1">
        <f t="shared" si="4"/>
        <v>625</v>
      </c>
      <c r="L14" s="1">
        <f t="shared" si="1"/>
        <v>40</v>
      </c>
      <c r="M14" s="1">
        <f t="shared" si="5"/>
        <v>1600</v>
      </c>
      <c r="N14" s="1">
        <f t="shared" si="6"/>
        <v>-1000</v>
      </c>
    </row>
    <row r="15" spans="2:24" ht="13.2" x14ac:dyDescent="0.25">
      <c r="B15" s="6">
        <v>-25</v>
      </c>
      <c r="C15" s="7">
        <v>45</v>
      </c>
      <c r="D15" s="7">
        <v>12.18</v>
      </c>
      <c r="E15" s="8">
        <v>6.78</v>
      </c>
      <c r="F15" s="1">
        <f t="shared" si="2"/>
        <v>1.7964601769911503</v>
      </c>
      <c r="G15" s="1">
        <f t="shared" si="3"/>
        <v>0.55665024630541871</v>
      </c>
      <c r="H15" s="1">
        <f>D15/$Q$6</f>
        <v>0.87</v>
      </c>
      <c r="I15" s="1">
        <f>G15/$Q$8</f>
        <v>2.2014416520553284</v>
      </c>
      <c r="J15" s="1">
        <f t="shared" si="0"/>
        <v>-25</v>
      </c>
      <c r="K15" s="1">
        <f t="shared" si="4"/>
        <v>625</v>
      </c>
      <c r="L15" s="1">
        <f t="shared" si="1"/>
        <v>45</v>
      </c>
      <c r="M15" s="1">
        <f t="shared" si="5"/>
        <v>2025</v>
      </c>
      <c r="N15" s="1">
        <f t="shared" si="6"/>
        <v>-1125</v>
      </c>
    </row>
    <row r="16" spans="2:24" ht="15.75" customHeight="1" x14ac:dyDescent="0.25">
      <c r="B16" s="6">
        <v>-25</v>
      </c>
      <c r="C16" s="7">
        <v>50</v>
      </c>
      <c r="D16" s="7">
        <v>11.6</v>
      </c>
      <c r="E16" s="8">
        <v>6.78</v>
      </c>
      <c r="F16" s="1">
        <f t="shared" si="2"/>
        <v>1.7109144542772861</v>
      </c>
      <c r="G16" s="1">
        <f t="shared" si="3"/>
        <v>0.58448275862068966</v>
      </c>
      <c r="H16" s="1">
        <f>D16/$Q$6</f>
        <v>0.82857142857142851</v>
      </c>
      <c r="I16" s="1">
        <f>G16/$Q$8</f>
        <v>2.311513734658095</v>
      </c>
      <c r="J16" s="1">
        <f t="shared" si="0"/>
        <v>-25</v>
      </c>
      <c r="K16" s="1">
        <f t="shared" si="4"/>
        <v>625</v>
      </c>
      <c r="L16" s="1">
        <f t="shared" si="1"/>
        <v>50</v>
      </c>
      <c r="M16" s="1">
        <f t="shared" si="5"/>
        <v>2500</v>
      </c>
      <c r="N16" s="1">
        <f t="shared" si="6"/>
        <v>-1250</v>
      </c>
      <c r="S16" s="39" t="s">
        <v>28</v>
      </c>
      <c r="T16" s="39"/>
      <c r="U16" s="39"/>
    </row>
    <row r="17" spans="2:21" ht="15.75" customHeight="1" x14ac:dyDescent="0.25">
      <c r="B17" s="6">
        <v>-25</v>
      </c>
      <c r="C17" s="7">
        <v>55</v>
      </c>
      <c r="D17" s="7">
        <v>11.2</v>
      </c>
      <c r="E17" s="8">
        <v>6.79</v>
      </c>
      <c r="F17" s="1">
        <f t="shared" si="2"/>
        <v>1.6494845360824741</v>
      </c>
      <c r="G17" s="1">
        <f t="shared" si="3"/>
        <v>0.60625000000000007</v>
      </c>
      <c r="H17" s="1">
        <f>D17/$Q$6</f>
        <v>0.79999999999999993</v>
      </c>
      <c r="I17" s="1">
        <f>G17/$Q$8</f>
        <v>2.3975988700564979</v>
      </c>
      <c r="J17" s="1">
        <f t="shared" si="0"/>
        <v>-25</v>
      </c>
      <c r="K17" s="1">
        <f t="shared" si="4"/>
        <v>625</v>
      </c>
      <c r="L17" s="1">
        <f t="shared" si="1"/>
        <v>55</v>
      </c>
      <c r="M17" s="1">
        <f t="shared" si="5"/>
        <v>3025</v>
      </c>
      <c r="N17" s="1">
        <f t="shared" si="6"/>
        <v>-1375</v>
      </c>
      <c r="S17" s="40"/>
      <c r="T17" s="40"/>
      <c r="U17" s="40"/>
    </row>
    <row r="18" spans="2:21" ht="13.2" x14ac:dyDescent="0.25">
      <c r="B18" s="6">
        <v>-25</v>
      </c>
      <c r="C18" s="7">
        <v>60</v>
      </c>
      <c r="D18" s="7">
        <v>10.57</v>
      </c>
      <c r="E18" s="8">
        <v>6.78</v>
      </c>
      <c r="F18" s="1">
        <f t="shared" si="2"/>
        <v>1.5589970501474926</v>
      </c>
      <c r="G18" s="1">
        <f t="shared" si="3"/>
        <v>0.64143803216650896</v>
      </c>
      <c r="H18" s="1">
        <f>D18/$Q$6</f>
        <v>0.755</v>
      </c>
      <c r="I18" s="1">
        <f>G18/$Q$8</f>
        <v>2.5367605791895835</v>
      </c>
      <c r="J18" s="1">
        <f t="shared" si="0"/>
        <v>-25</v>
      </c>
      <c r="K18" s="1">
        <f t="shared" si="4"/>
        <v>625</v>
      </c>
      <c r="L18" s="1">
        <f t="shared" si="1"/>
        <v>60</v>
      </c>
      <c r="M18" s="1">
        <f t="shared" si="5"/>
        <v>3600</v>
      </c>
      <c r="N18" s="1">
        <f t="shared" si="6"/>
        <v>-1500</v>
      </c>
      <c r="S18" s="32" t="s">
        <v>29</v>
      </c>
      <c r="T18" s="33"/>
      <c r="U18" s="34"/>
    </row>
    <row r="19" spans="2:21" x14ac:dyDescent="0.25">
      <c r="B19" s="6">
        <v>-25</v>
      </c>
      <c r="C19" s="7">
        <v>65</v>
      </c>
      <c r="D19" s="7">
        <v>9.7799999999999994</v>
      </c>
      <c r="E19" s="8">
        <v>6.77</v>
      </c>
      <c r="F19" s="1">
        <f t="shared" si="2"/>
        <v>1.4446085672082718</v>
      </c>
      <c r="G19" s="1">
        <f t="shared" si="3"/>
        <v>0.69222903885480569</v>
      </c>
      <c r="H19" s="1">
        <f>D19/$Q$6</f>
        <v>0.69857142857142851</v>
      </c>
      <c r="I19" s="1">
        <f>G19/$Q$8</f>
        <v>2.7376289672223955</v>
      </c>
      <c r="J19" s="1">
        <f t="shared" si="0"/>
        <v>-25</v>
      </c>
      <c r="K19" s="1">
        <f t="shared" si="4"/>
        <v>625</v>
      </c>
      <c r="L19" s="1">
        <f t="shared" si="1"/>
        <v>65</v>
      </c>
      <c r="M19" s="1">
        <f t="shared" si="5"/>
        <v>4225</v>
      </c>
      <c r="N19" s="1">
        <f t="shared" si="6"/>
        <v>-1625</v>
      </c>
      <c r="S19" s="28" t="s">
        <v>19</v>
      </c>
      <c r="T19" s="29" t="s">
        <v>20</v>
      </c>
      <c r="U19" s="30" t="s">
        <v>21</v>
      </c>
    </row>
    <row r="20" spans="2:21" x14ac:dyDescent="0.25">
      <c r="B20" s="6">
        <v>-20</v>
      </c>
      <c r="C20" s="7">
        <v>25</v>
      </c>
      <c r="D20" s="7">
        <v>12.96</v>
      </c>
      <c r="E20" s="8">
        <v>5.13</v>
      </c>
      <c r="F20" s="1">
        <f t="shared" si="2"/>
        <v>2.5263157894736845</v>
      </c>
      <c r="G20" s="1">
        <f t="shared" si="3"/>
        <v>0.39583333333333326</v>
      </c>
      <c r="H20" s="1">
        <f>D20/$Q$6</f>
        <v>0.92571428571428582</v>
      </c>
      <c r="I20" s="1">
        <f>G20/$Q$8</f>
        <v>1.5654425612052729</v>
      </c>
      <c r="J20" s="1">
        <f t="shared" si="0"/>
        <v>-20</v>
      </c>
      <c r="K20" s="1">
        <f t="shared" si="4"/>
        <v>400</v>
      </c>
      <c r="L20" s="1">
        <f t="shared" si="1"/>
        <v>25</v>
      </c>
      <c r="M20" s="1">
        <f t="shared" si="5"/>
        <v>625</v>
      </c>
      <c r="N20" s="1">
        <f t="shared" si="6"/>
        <v>-500</v>
      </c>
      <c r="S20" s="31">
        <v>0</v>
      </c>
      <c r="T20" s="35">
        <v>0.2</v>
      </c>
      <c r="U20" s="36">
        <v>0.8</v>
      </c>
    </row>
    <row r="21" spans="2:21" x14ac:dyDescent="0.25">
      <c r="B21" s="6">
        <v>-20</v>
      </c>
      <c r="C21" s="7">
        <v>30</v>
      </c>
      <c r="D21" s="7">
        <v>13.42</v>
      </c>
      <c r="E21" s="8">
        <v>5.59</v>
      </c>
      <c r="F21" s="1">
        <f t="shared" si="2"/>
        <v>2.4007155635062611</v>
      </c>
      <c r="G21" s="1">
        <f t="shared" si="3"/>
        <v>0.41654247391952309</v>
      </c>
      <c r="H21" s="1">
        <f>D21/$Q$6</f>
        <v>0.95857142857142852</v>
      </c>
      <c r="I21" s="1">
        <f>G21/$Q$8</f>
        <v>1.6473431171958541</v>
      </c>
      <c r="J21" s="1">
        <f t="shared" si="0"/>
        <v>-20</v>
      </c>
      <c r="K21" s="1">
        <f t="shared" si="4"/>
        <v>400</v>
      </c>
      <c r="L21" s="1">
        <f t="shared" si="1"/>
        <v>30</v>
      </c>
      <c r="M21" s="1">
        <f t="shared" si="5"/>
        <v>900</v>
      </c>
      <c r="N21" s="1">
        <f t="shared" si="6"/>
        <v>-600</v>
      </c>
    </row>
    <row r="22" spans="2:21" x14ac:dyDescent="0.25">
      <c r="B22" s="6">
        <v>-20</v>
      </c>
      <c r="C22" s="7">
        <v>35</v>
      </c>
      <c r="D22" s="7">
        <v>13.87</v>
      </c>
      <c r="E22" s="8">
        <v>6.11</v>
      </c>
      <c r="F22" s="1">
        <f t="shared" si="2"/>
        <v>2.2700490998363336</v>
      </c>
      <c r="G22" s="1">
        <f t="shared" si="3"/>
        <v>0.44051910598413846</v>
      </c>
      <c r="H22" s="1">
        <f>D22/$Q$6</f>
        <v>0.99071428571428566</v>
      </c>
      <c r="I22" s="1">
        <f>G22/$Q$8</f>
        <v>1.7421659558694742</v>
      </c>
      <c r="J22" s="1">
        <f t="shared" si="0"/>
        <v>-20</v>
      </c>
      <c r="K22" s="1">
        <f t="shared" si="4"/>
        <v>400</v>
      </c>
      <c r="L22" s="1">
        <f t="shared" si="1"/>
        <v>35</v>
      </c>
      <c r="M22" s="1">
        <f t="shared" si="5"/>
        <v>1225</v>
      </c>
      <c r="N22" s="1">
        <f t="shared" si="6"/>
        <v>-700</v>
      </c>
    </row>
    <row r="23" spans="2:21" x14ac:dyDescent="0.25">
      <c r="B23" s="6">
        <v>-20</v>
      </c>
      <c r="C23" s="7">
        <v>40</v>
      </c>
      <c r="D23" s="7">
        <v>13.94</v>
      </c>
      <c r="E23" s="8">
        <v>6.52</v>
      </c>
      <c r="F23" s="1">
        <f t="shared" si="2"/>
        <v>2.1380368098159508</v>
      </c>
      <c r="G23" s="1">
        <f t="shared" si="3"/>
        <v>0.46771879483500722</v>
      </c>
      <c r="H23" s="1">
        <f>D23/$Q$6</f>
        <v>0.99571428571428566</v>
      </c>
      <c r="I23" s="1">
        <f>G23/$Q$8</f>
        <v>1.8497353468051134</v>
      </c>
      <c r="J23" s="1">
        <f t="shared" si="0"/>
        <v>-20</v>
      </c>
      <c r="K23" s="1">
        <f t="shared" si="4"/>
        <v>400</v>
      </c>
      <c r="L23" s="1">
        <f t="shared" si="1"/>
        <v>40</v>
      </c>
      <c r="M23" s="1">
        <f t="shared" si="5"/>
        <v>1600</v>
      </c>
      <c r="N23" s="1">
        <f t="shared" si="6"/>
        <v>-800</v>
      </c>
    </row>
    <row r="24" spans="2:21" x14ac:dyDescent="0.25">
      <c r="B24" s="6">
        <v>-20</v>
      </c>
      <c r="C24" s="7">
        <v>45</v>
      </c>
      <c r="D24" s="7">
        <v>13.6</v>
      </c>
      <c r="E24" s="8">
        <v>6.78</v>
      </c>
      <c r="F24" s="1">
        <f t="shared" si="2"/>
        <v>2.0058997050147491</v>
      </c>
      <c r="G24" s="1">
        <f t="shared" si="3"/>
        <v>0.49852941176470594</v>
      </c>
      <c r="H24" s="1">
        <f>D24/$Q$6</f>
        <v>0.97142857142857142</v>
      </c>
      <c r="I24" s="1">
        <f>G24/$Q$8</f>
        <v>1.9715852442671988</v>
      </c>
      <c r="J24" s="1">
        <f t="shared" si="0"/>
        <v>-20</v>
      </c>
      <c r="K24" s="1">
        <f t="shared" si="4"/>
        <v>400</v>
      </c>
      <c r="L24" s="1">
        <f t="shared" si="1"/>
        <v>45</v>
      </c>
      <c r="M24" s="1">
        <f t="shared" si="5"/>
        <v>2025</v>
      </c>
      <c r="N24" s="1">
        <f t="shared" si="6"/>
        <v>-900</v>
      </c>
    </row>
    <row r="25" spans="2:21" x14ac:dyDescent="0.25">
      <c r="B25" s="6">
        <v>-20</v>
      </c>
      <c r="C25" s="7">
        <v>50</v>
      </c>
      <c r="D25" s="7">
        <v>12.74</v>
      </c>
      <c r="E25" s="8">
        <v>6.79</v>
      </c>
      <c r="F25" s="1">
        <f t="shared" si="2"/>
        <v>1.8762886597938144</v>
      </c>
      <c r="G25" s="1">
        <f t="shared" si="3"/>
        <v>0.53296703296703296</v>
      </c>
      <c r="H25" s="1">
        <f>D25/$Q$6</f>
        <v>0.91</v>
      </c>
      <c r="I25" s="1">
        <f>G25/$Q$8</f>
        <v>2.1077792264232942</v>
      </c>
      <c r="J25" s="1">
        <f t="shared" si="0"/>
        <v>-20</v>
      </c>
      <c r="K25" s="1">
        <f t="shared" si="4"/>
        <v>400</v>
      </c>
      <c r="L25" s="1">
        <f t="shared" si="1"/>
        <v>50</v>
      </c>
      <c r="M25" s="1">
        <f t="shared" si="5"/>
        <v>2500</v>
      </c>
      <c r="N25" s="1">
        <f t="shared" si="6"/>
        <v>-1000</v>
      </c>
    </row>
    <row r="26" spans="2:21" x14ac:dyDescent="0.25">
      <c r="B26" s="6">
        <v>-20</v>
      </c>
      <c r="C26" s="7">
        <v>55</v>
      </c>
      <c r="D26" s="7">
        <v>12.12</v>
      </c>
      <c r="E26" s="8">
        <v>6.79</v>
      </c>
      <c r="F26" s="1">
        <f t="shared" si="2"/>
        <v>1.7849779086892488</v>
      </c>
      <c r="G26" s="1">
        <f t="shared" si="3"/>
        <v>0.56023102310231032</v>
      </c>
      <c r="H26" s="1">
        <f>D26/$Q$6</f>
        <v>0.86571428571428566</v>
      </c>
      <c r="I26" s="1">
        <f>G26/$Q$8</f>
        <v>2.2156029162238262</v>
      </c>
      <c r="J26" s="1">
        <f t="shared" si="0"/>
        <v>-20</v>
      </c>
      <c r="K26" s="1">
        <f t="shared" si="4"/>
        <v>400</v>
      </c>
      <c r="L26" s="1">
        <f t="shared" si="1"/>
        <v>55</v>
      </c>
      <c r="M26" s="1">
        <f t="shared" si="5"/>
        <v>3025</v>
      </c>
      <c r="N26" s="1">
        <f t="shared" si="6"/>
        <v>-1100</v>
      </c>
    </row>
    <row r="27" spans="2:21" x14ac:dyDescent="0.25">
      <c r="B27" s="6">
        <v>-20</v>
      </c>
      <c r="C27" s="7">
        <v>60</v>
      </c>
      <c r="D27" s="7">
        <v>11.54</v>
      </c>
      <c r="E27" s="8">
        <v>6.78</v>
      </c>
      <c r="F27" s="1">
        <f t="shared" si="2"/>
        <v>1.7020648967551621</v>
      </c>
      <c r="G27" s="1">
        <f t="shared" si="3"/>
        <v>0.58752166377816295</v>
      </c>
      <c r="H27" s="1">
        <f>D27/$Q$6</f>
        <v>0.82428571428571418</v>
      </c>
      <c r="I27" s="1">
        <f>G27/$Q$8</f>
        <v>2.3235320036424527</v>
      </c>
      <c r="J27" s="1">
        <f t="shared" si="0"/>
        <v>-20</v>
      </c>
      <c r="K27" s="1">
        <f t="shared" si="4"/>
        <v>400</v>
      </c>
      <c r="L27" s="1">
        <f t="shared" si="1"/>
        <v>60</v>
      </c>
      <c r="M27" s="1">
        <f t="shared" si="5"/>
        <v>3600</v>
      </c>
      <c r="N27" s="1">
        <f t="shared" si="6"/>
        <v>-1200</v>
      </c>
    </row>
    <row r="28" spans="2:21" x14ac:dyDescent="0.25">
      <c r="B28" s="6">
        <v>-20</v>
      </c>
      <c r="C28" s="7">
        <v>65</v>
      </c>
      <c r="D28" s="7">
        <v>10.88</v>
      </c>
      <c r="E28" s="8">
        <v>6.79</v>
      </c>
      <c r="F28" s="1">
        <f t="shared" si="2"/>
        <v>1.6023564064801179</v>
      </c>
      <c r="G28" s="1">
        <f t="shared" si="3"/>
        <v>0.62408088235294112</v>
      </c>
      <c r="H28" s="1">
        <f>D28/$Q$6</f>
        <v>0.77714285714285725</v>
      </c>
      <c r="I28" s="1">
        <f>G28/$Q$8</f>
        <v>2.4681164838816883</v>
      </c>
      <c r="J28" s="1">
        <f t="shared" si="0"/>
        <v>-20</v>
      </c>
      <c r="K28" s="1">
        <f t="shared" si="4"/>
        <v>400</v>
      </c>
      <c r="L28" s="1">
        <f t="shared" si="1"/>
        <v>65</v>
      </c>
      <c r="M28" s="1">
        <f t="shared" si="5"/>
        <v>4225</v>
      </c>
      <c r="N28" s="1">
        <f t="shared" si="6"/>
        <v>-1300</v>
      </c>
    </row>
    <row r="29" spans="2:21" x14ac:dyDescent="0.25">
      <c r="B29" s="6">
        <v>-15</v>
      </c>
      <c r="C29" s="7">
        <v>25</v>
      </c>
      <c r="D29" s="7">
        <v>13.86</v>
      </c>
      <c r="E29" s="8">
        <v>4.72</v>
      </c>
      <c r="F29" s="1">
        <f t="shared" si="2"/>
        <v>2.9364406779661016</v>
      </c>
      <c r="G29" s="1">
        <f t="shared" si="3"/>
        <v>0.34054834054834054</v>
      </c>
      <c r="H29" s="1">
        <f>D29/$Q$6</f>
        <v>0.99</v>
      </c>
      <c r="I29" s="1">
        <f>G29/$Q$8</f>
        <v>1.3468013468013469</v>
      </c>
      <c r="J29" s="1">
        <f t="shared" si="0"/>
        <v>-15</v>
      </c>
      <c r="K29" s="1">
        <f t="shared" si="4"/>
        <v>225</v>
      </c>
      <c r="L29" s="1">
        <f t="shared" si="1"/>
        <v>25</v>
      </c>
      <c r="M29" s="1">
        <f t="shared" si="5"/>
        <v>625</v>
      </c>
      <c r="N29" s="1">
        <f t="shared" si="6"/>
        <v>-375</v>
      </c>
    </row>
    <row r="30" spans="2:21" x14ac:dyDescent="0.25">
      <c r="B30" s="6">
        <v>-15</v>
      </c>
      <c r="C30" s="7">
        <v>30</v>
      </c>
      <c r="D30" s="7">
        <v>13.78</v>
      </c>
      <c r="E30" s="8">
        <v>5.12</v>
      </c>
      <c r="F30" s="1">
        <f t="shared" si="2"/>
        <v>2.69140625</v>
      </c>
      <c r="G30" s="1">
        <f t="shared" si="3"/>
        <v>0.37155297532656023</v>
      </c>
      <c r="H30" s="1">
        <f>D30/$Q$6</f>
        <v>0.98428571428571421</v>
      </c>
      <c r="I30" s="1">
        <f>G30/$Q$8</f>
        <v>1.4694185464892213</v>
      </c>
      <c r="J30" s="1">
        <f t="shared" si="0"/>
        <v>-15</v>
      </c>
      <c r="K30" s="1">
        <f t="shared" si="4"/>
        <v>225</v>
      </c>
      <c r="L30" s="1">
        <f t="shared" si="1"/>
        <v>30</v>
      </c>
      <c r="M30" s="1">
        <f t="shared" si="5"/>
        <v>900</v>
      </c>
      <c r="N30" s="1">
        <f t="shared" si="6"/>
        <v>-450</v>
      </c>
    </row>
    <row r="31" spans="2:21" x14ac:dyDescent="0.25">
      <c r="B31" s="6">
        <v>-15</v>
      </c>
      <c r="C31" s="7">
        <v>35</v>
      </c>
      <c r="D31" s="7">
        <v>13.7</v>
      </c>
      <c r="E31" s="8">
        <v>5.59</v>
      </c>
      <c r="F31" s="1">
        <f t="shared" si="2"/>
        <v>2.4508050089445437</v>
      </c>
      <c r="G31" s="1">
        <f t="shared" si="3"/>
        <v>0.40802919708029201</v>
      </c>
      <c r="H31" s="1">
        <f>D31/$Q$6</f>
        <v>0.97857142857142854</v>
      </c>
      <c r="I31" s="1">
        <f>G31/$Q$8</f>
        <v>1.6136747907130193</v>
      </c>
      <c r="J31" s="1">
        <f t="shared" si="0"/>
        <v>-15</v>
      </c>
      <c r="K31" s="1">
        <f t="shared" si="4"/>
        <v>225</v>
      </c>
      <c r="L31" s="1">
        <f t="shared" si="1"/>
        <v>35</v>
      </c>
      <c r="M31" s="1">
        <f t="shared" si="5"/>
        <v>1225</v>
      </c>
      <c r="N31" s="1">
        <f t="shared" si="6"/>
        <v>-525</v>
      </c>
    </row>
    <row r="32" spans="2:21" x14ac:dyDescent="0.25">
      <c r="B32" s="6">
        <v>-15</v>
      </c>
      <c r="C32" s="7">
        <v>40</v>
      </c>
      <c r="D32" s="7">
        <v>13.85</v>
      </c>
      <c r="E32" s="8">
        <v>6.05</v>
      </c>
      <c r="F32" s="1">
        <f t="shared" si="2"/>
        <v>2.2892561983471076</v>
      </c>
      <c r="G32" s="1">
        <f t="shared" si="3"/>
        <v>0.43682310469314078</v>
      </c>
      <c r="H32" s="1">
        <f>D32/$Q$6</f>
        <v>0.98928571428571421</v>
      </c>
      <c r="I32" s="1">
        <f>G32/$Q$8</f>
        <v>1.7275490016112913</v>
      </c>
      <c r="J32" s="1">
        <f t="shared" si="0"/>
        <v>-15</v>
      </c>
      <c r="K32" s="1">
        <f t="shared" si="4"/>
        <v>225</v>
      </c>
      <c r="L32" s="1">
        <f t="shared" si="1"/>
        <v>40</v>
      </c>
      <c r="M32" s="1">
        <f t="shared" si="5"/>
        <v>1600</v>
      </c>
      <c r="N32" s="1">
        <f t="shared" si="6"/>
        <v>-600</v>
      </c>
    </row>
    <row r="33" spans="2:14" x14ac:dyDescent="0.25">
      <c r="B33" s="6">
        <v>-15</v>
      </c>
      <c r="C33" s="7">
        <v>45</v>
      </c>
      <c r="D33" s="7">
        <v>14</v>
      </c>
      <c r="E33" s="8">
        <v>6.58</v>
      </c>
      <c r="F33" s="1">
        <f t="shared" si="2"/>
        <v>2.1276595744680851</v>
      </c>
      <c r="G33" s="1">
        <f t="shared" si="3"/>
        <v>0.47000000000000003</v>
      </c>
      <c r="H33" s="1">
        <f>D33/$Q$6</f>
        <v>1</v>
      </c>
      <c r="I33" s="1">
        <f>G33/$Q$8</f>
        <v>1.858757062146893</v>
      </c>
      <c r="J33" s="1">
        <f t="shared" si="0"/>
        <v>-15</v>
      </c>
      <c r="K33" s="1">
        <f t="shared" si="4"/>
        <v>225</v>
      </c>
      <c r="L33" s="1">
        <f t="shared" si="1"/>
        <v>45</v>
      </c>
      <c r="M33" s="1">
        <f t="shared" si="5"/>
        <v>2025</v>
      </c>
      <c r="N33" s="1">
        <f t="shared" si="6"/>
        <v>-675</v>
      </c>
    </row>
    <row r="34" spans="2:14" x14ac:dyDescent="0.25">
      <c r="B34" s="6">
        <v>-15</v>
      </c>
      <c r="C34" s="7">
        <v>50</v>
      </c>
      <c r="D34" s="7">
        <v>13.6</v>
      </c>
      <c r="E34" s="8">
        <v>6.78</v>
      </c>
      <c r="F34" s="1">
        <f t="shared" si="2"/>
        <v>2.0058997050147491</v>
      </c>
      <c r="G34" s="1">
        <f t="shared" si="3"/>
        <v>0.49852941176470594</v>
      </c>
      <c r="H34" s="1">
        <f>D34/$Q$6</f>
        <v>0.97142857142857142</v>
      </c>
      <c r="I34" s="1">
        <f>G34/$Q$8</f>
        <v>1.9715852442671988</v>
      </c>
      <c r="J34" s="1">
        <f t="shared" si="0"/>
        <v>-15</v>
      </c>
      <c r="K34" s="1">
        <f t="shared" si="4"/>
        <v>225</v>
      </c>
      <c r="L34" s="1">
        <f t="shared" si="1"/>
        <v>50</v>
      </c>
      <c r="M34" s="1">
        <f t="shared" si="5"/>
        <v>2500</v>
      </c>
      <c r="N34" s="1">
        <f t="shared" si="6"/>
        <v>-750</v>
      </c>
    </row>
    <row r="35" spans="2:14" x14ac:dyDescent="0.25">
      <c r="B35" s="6">
        <v>-15</v>
      </c>
      <c r="C35" s="7">
        <v>55</v>
      </c>
      <c r="D35" s="7">
        <v>13.03</v>
      </c>
      <c r="E35" s="8">
        <v>6.79</v>
      </c>
      <c r="F35" s="1">
        <f t="shared" si="2"/>
        <v>1.9189985272459498</v>
      </c>
      <c r="G35" s="1">
        <f t="shared" si="3"/>
        <v>0.52110514198004609</v>
      </c>
      <c r="H35" s="1">
        <f>D35/$Q$6</f>
        <v>0.93071428571428572</v>
      </c>
      <c r="I35" s="1">
        <f>G35/$Q$8</f>
        <v>2.0608677931414254</v>
      </c>
      <c r="J35" s="1">
        <f t="shared" si="0"/>
        <v>-15</v>
      </c>
      <c r="K35" s="1">
        <f t="shared" si="4"/>
        <v>225</v>
      </c>
      <c r="L35" s="1">
        <f t="shared" si="1"/>
        <v>55</v>
      </c>
      <c r="M35" s="1">
        <f t="shared" si="5"/>
        <v>3025</v>
      </c>
      <c r="N35" s="1">
        <f t="shared" si="6"/>
        <v>-825</v>
      </c>
    </row>
    <row r="36" spans="2:14" x14ac:dyDescent="0.25">
      <c r="B36" s="6">
        <v>-15</v>
      </c>
      <c r="C36" s="7">
        <v>60</v>
      </c>
      <c r="D36" s="7">
        <v>12.49</v>
      </c>
      <c r="E36" s="8">
        <v>6.78</v>
      </c>
      <c r="F36" s="1">
        <f t="shared" si="2"/>
        <v>1.8421828908554572</v>
      </c>
      <c r="G36" s="1">
        <f t="shared" si="3"/>
        <v>0.54283426741393115</v>
      </c>
      <c r="H36" s="1">
        <f>D36/$Q$6</f>
        <v>0.89214285714285713</v>
      </c>
      <c r="I36" s="1">
        <f>G36/$Q$8</f>
        <v>2.1468021875127223</v>
      </c>
      <c r="J36" s="1">
        <f t="shared" si="0"/>
        <v>-15</v>
      </c>
      <c r="K36" s="1">
        <f t="shared" si="4"/>
        <v>225</v>
      </c>
      <c r="L36" s="1">
        <f t="shared" si="1"/>
        <v>60</v>
      </c>
      <c r="M36" s="1">
        <f t="shared" si="5"/>
        <v>3600</v>
      </c>
      <c r="N36" s="1">
        <f t="shared" si="6"/>
        <v>-900</v>
      </c>
    </row>
    <row r="37" spans="2:14" x14ac:dyDescent="0.25">
      <c r="B37" s="6">
        <v>-15</v>
      </c>
      <c r="C37" s="7">
        <v>65</v>
      </c>
      <c r="D37" s="7">
        <v>11.87</v>
      </c>
      <c r="E37" s="8">
        <v>6.77</v>
      </c>
      <c r="F37" s="1">
        <f t="shared" si="2"/>
        <v>1.7533234859675038</v>
      </c>
      <c r="G37" s="1">
        <f t="shared" si="3"/>
        <v>0.5703454085930918</v>
      </c>
      <c r="H37" s="1">
        <f>D37/$Q$6</f>
        <v>0.84785714285714275</v>
      </c>
      <c r="I37" s="1">
        <f>G37/$Q$8</f>
        <v>2.2556033108201374</v>
      </c>
      <c r="J37" s="1">
        <f t="shared" si="0"/>
        <v>-15</v>
      </c>
      <c r="K37" s="1">
        <f t="shared" si="4"/>
        <v>225</v>
      </c>
      <c r="L37" s="1">
        <f t="shared" si="1"/>
        <v>65</v>
      </c>
      <c r="M37" s="1">
        <f t="shared" si="5"/>
        <v>4225</v>
      </c>
      <c r="N37" s="1">
        <f t="shared" si="6"/>
        <v>-975</v>
      </c>
    </row>
    <row r="38" spans="2:14" x14ac:dyDescent="0.25">
      <c r="B38" s="6">
        <v>-15</v>
      </c>
      <c r="C38" s="7">
        <v>70</v>
      </c>
      <c r="D38" s="7">
        <v>11.2</v>
      </c>
      <c r="E38" s="8">
        <v>6.79</v>
      </c>
      <c r="F38" s="1">
        <f t="shared" si="2"/>
        <v>1.6494845360824741</v>
      </c>
      <c r="G38" s="1">
        <f t="shared" si="3"/>
        <v>0.60625000000000007</v>
      </c>
      <c r="H38" s="1">
        <f>D38/$Q$6</f>
        <v>0.79999999999999993</v>
      </c>
      <c r="I38" s="1">
        <f>G38/$Q$8</f>
        <v>2.3975988700564979</v>
      </c>
      <c r="J38" s="1">
        <f t="shared" si="0"/>
        <v>-15</v>
      </c>
      <c r="K38" s="1">
        <f t="shared" si="4"/>
        <v>225</v>
      </c>
      <c r="L38" s="1">
        <f t="shared" si="1"/>
        <v>70</v>
      </c>
      <c r="M38" s="1">
        <f t="shared" si="5"/>
        <v>4900</v>
      </c>
      <c r="N38" s="1">
        <f t="shared" si="6"/>
        <v>-1050</v>
      </c>
    </row>
    <row r="39" spans="2:14" x14ac:dyDescent="0.25">
      <c r="B39" s="6">
        <v>-10</v>
      </c>
      <c r="C39" s="7">
        <v>25</v>
      </c>
      <c r="D39" s="7">
        <v>13.91</v>
      </c>
      <c r="E39" s="8">
        <v>4.49</v>
      </c>
      <c r="F39" s="1">
        <f t="shared" si="2"/>
        <v>3.0979955456570156</v>
      </c>
      <c r="G39" s="1">
        <f t="shared" si="3"/>
        <v>0.32278936017253773</v>
      </c>
      <c r="H39" s="1">
        <f>D39/$Q$6</f>
        <v>0.99357142857142855</v>
      </c>
      <c r="I39" s="1">
        <f>G39/$Q$8</f>
        <v>1.276568091077833</v>
      </c>
      <c r="J39" s="1">
        <f t="shared" si="0"/>
        <v>-10</v>
      </c>
      <c r="K39" s="1">
        <f t="shared" si="4"/>
        <v>100</v>
      </c>
      <c r="L39" s="1">
        <f t="shared" si="1"/>
        <v>25</v>
      </c>
      <c r="M39" s="1">
        <f t="shared" si="5"/>
        <v>625</v>
      </c>
      <c r="N39" s="1">
        <f t="shared" si="6"/>
        <v>-250</v>
      </c>
    </row>
    <row r="40" spans="2:14" x14ac:dyDescent="0.25">
      <c r="B40" s="6">
        <v>-10</v>
      </c>
      <c r="C40" s="7">
        <v>30</v>
      </c>
      <c r="D40" s="7">
        <v>13.94</v>
      </c>
      <c r="E40" s="8">
        <v>4.75</v>
      </c>
      <c r="F40" s="1">
        <f t="shared" si="2"/>
        <v>2.9347368421052629</v>
      </c>
      <c r="G40" s="1">
        <f t="shared" si="3"/>
        <v>0.34074605451936874</v>
      </c>
      <c r="H40" s="1">
        <f>D40/$Q$6</f>
        <v>0.99571428571428566</v>
      </c>
      <c r="I40" s="1">
        <f>G40/$Q$8</f>
        <v>1.3475832664607805</v>
      </c>
      <c r="J40" s="1">
        <f t="shared" si="0"/>
        <v>-10</v>
      </c>
      <c r="K40" s="1">
        <f t="shared" si="4"/>
        <v>100</v>
      </c>
      <c r="L40" s="1">
        <f t="shared" si="1"/>
        <v>30</v>
      </c>
      <c r="M40" s="1">
        <f t="shared" si="5"/>
        <v>900</v>
      </c>
      <c r="N40" s="1">
        <f t="shared" si="6"/>
        <v>-300</v>
      </c>
    </row>
    <row r="41" spans="2:14" x14ac:dyDescent="0.25">
      <c r="B41" s="6">
        <v>-10</v>
      </c>
      <c r="C41" s="7">
        <v>35</v>
      </c>
      <c r="D41" s="7">
        <v>13.97</v>
      </c>
      <c r="E41" s="8">
        <v>5.05</v>
      </c>
      <c r="F41" s="1">
        <f t="shared" si="2"/>
        <v>2.7663366336633666</v>
      </c>
      <c r="G41" s="1">
        <f t="shared" si="3"/>
        <v>0.36148890479599138</v>
      </c>
      <c r="H41" s="1">
        <f>D41/$Q$6</f>
        <v>0.99785714285714289</v>
      </c>
      <c r="I41" s="1">
        <f>G41/$Q$8</f>
        <v>1.4296171376112654</v>
      </c>
      <c r="J41" s="1">
        <f t="shared" si="0"/>
        <v>-10</v>
      </c>
      <c r="K41" s="1">
        <f t="shared" si="4"/>
        <v>100</v>
      </c>
      <c r="L41" s="1">
        <f t="shared" si="1"/>
        <v>35</v>
      </c>
      <c r="M41" s="1">
        <f t="shared" si="5"/>
        <v>1225</v>
      </c>
      <c r="N41" s="1">
        <f t="shared" si="6"/>
        <v>-350</v>
      </c>
    </row>
    <row r="42" spans="2:14" x14ac:dyDescent="0.25">
      <c r="B42" s="6">
        <v>-10</v>
      </c>
      <c r="C42" s="7">
        <v>40</v>
      </c>
      <c r="D42" s="7">
        <v>13.99</v>
      </c>
      <c r="E42" s="8">
        <v>5.35</v>
      </c>
      <c r="F42" s="1">
        <f t="shared" si="2"/>
        <v>2.6149532710280377</v>
      </c>
      <c r="G42" s="1">
        <f t="shared" si="3"/>
        <v>0.38241601143674048</v>
      </c>
      <c r="H42" s="1">
        <f>D42/$Q$6</f>
        <v>0.99928571428571433</v>
      </c>
      <c r="I42" s="1">
        <f>G42/$Q$8</f>
        <v>1.5123797062469964</v>
      </c>
      <c r="J42" s="1">
        <f t="shared" si="0"/>
        <v>-10</v>
      </c>
      <c r="K42" s="1">
        <f t="shared" si="4"/>
        <v>100</v>
      </c>
      <c r="L42" s="1">
        <f t="shared" si="1"/>
        <v>40</v>
      </c>
      <c r="M42" s="1">
        <f t="shared" si="5"/>
        <v>1600</v>
      </c>
      <c r="N42" s="1">
        <f t="shared" si="6"/>
        <v>-400</v>
      </c>
    </row>
    <row r="43" spans="2:14" x14ac:dyDescent="0.25">
      <c r="B43" s="6">
        <v>-10</v>
      </c>
      <c r="C43" s="7">
        <v>45</v>
      </c>
      <c r="D43" s="7">
        <v>14</v>
      </c>
      <c r="E43" s="8">
        <v>5.69</v>
      </c>
      <c r="F43" s="1">
        <f t="shared" si="2"/>
        <v>2.4604569420035149</v>
      </c>
      <c r="G43" s="1">
        <f t="shared" si="3"/>
        <v>0.40642857142857142</v>
      </c>
      <c r="H43" s="1">
        <f>D43/$Q$6</f>
        <v>1</v>
      </c>
      <c r="I43" s="1">
        <f>G43/$Q$8</f>
        <v>1.6073446327683616</v>
      </c>
      <c r="J43" s="1">
        <f t="shared" si="0"/>
        <v>-10</v>
      </c>
      <c r="K43" s="1">
        <f t="shared" si="4"/>
        <v>100</v>
      </c>
      <c r="L43" s="1">
        <f t="shared" si="1"/>
        <v>45</v>
      </c>
      <c r="M43" s="1">
        <f t="shared" si="5"/>
        <v>2025</v>
      </c>
      <c r="N43" s="1">
        <f t="shared" si="6"/>
        <v>-450</v>
      </c>
    </row>
    <row r="44" spans="2:14" x14ac:dyDescent="0.25">
      <c r="B44" s="6">
        <v>-10</v>
      </c>
      <c r="C44" s="7">
        <v>50</v>
      </c>
      <c r="D44" s="7">
        <v>14</v>
      </c>
      <c r="E44" s="8">
        <v>6.2</v>
      </c>
      <c r="F44" s="1">
        <f t="shared" si="2"/>
        <v>2.258064516129032</v>
      </c>
      <c r="G44" s="1">
        <f t="shared" si="3"/>
        <v>0.44285714285714289</v>
      </c>
      <c r="H44" s="1">
        <f>D44/$Q$6</f>
        <v>1</v>
      </c>
      <c r="I44" s="1">
        <f>G44/$Q$8</f>
        <v>1.7514124293785314</v>
      </c>
      <c r="J44" s="1">
        <f t="shared" si="0"/>
        <v>-10</v>
      </c>
      <c r="K44" s="1">
        <f t="shared" si="4"/>
        <v>100</v>
      </c>
      <c r="L44" s="1">
        <f t="shared" si="1"/>
        <v>50</v>
      </c>
      <c r="M44" s="1">
        <f t="shared" si="5"/>
        <v>2500</v>
      </c>
      <c r="N44" s="1">
        <f t="shared" si="6"/>
        <v>-500</v>
      </c>
    </row>
    <row r="45" spans="2:14" x14ac:dyDescent="0.25">
      <c r="B45" s="6">
        <v>-10</v>
      </c>
      <c r="C45" s="7">
        <v>55</v>
      </c>
      <c r="D45" s="7">
        <v>14</v>
      </c>
      <c r="E45" s="8">
        <v>6.61</v>
      </c>
      <c r="F45" s="1">
        <f t="shared" si="2"/>
        <v>2.118003025718608</v>
      </c>
      <c r="G45" s="1">
        <f t="shared" si="3"/>
        <v>0.4721428571428572</v>
      </c>
      <c r="H45" s="1">
        <f>D45/$Q$6</f>
        <v>1</v>
      </c>
      <c r="I45" s="1">
        <f>G45/$Q$8</f>
        <v>1.8672316384180794</v>
      </c>
      <c r="J45" s="1">
        <f t="shared" si="0"/>
        <v>-10</v>
      </c>
      <c r="K45" s="1">
        <f t="shared" si="4"/>
        <v>100</v>
      </c>
      <c r="L45" s="1">
        <f t="shared" si="1"/>
        <v>55</v>
      </c>
      <c r="M45" s="1">
        <f t="shared" si="5"/>
        <v>3025</v>
      </c>
      <c r="N45" s="1">
        <f t="shared" si="6"/>
        <v>-550</v>
      </c>
    </row>
    <row r="46" spans="2:14" x14ac:dyDescent="0.25">
      <c r="B46" s="6">
        <v>-10</v>
      </c>
      <c r="C46" s="7">
        <v>60</v>
      </c>
      <c r="D46" s="7">
        <v>13.69</v>
      </c>
      <c r="E46" s="8">
        <v>6.77</v>
      </c>
      <c r="F46" s="1">
        <f t="shared" si="2"/>
        <v>2.0221565731166913</v>
      </c>
      <c r="G46" s="1">
        <f t="shared" si="3"/>
        <v>0.49452154857560265</v>
      </c>
      <c r="H46" s="1">
        <f>D46/$Q$6</f>
        <v>0.97785714285714287</v>
      </c>
      <c r="I46" s="1">
        <f>G46/$Q$8</f>
        <v>1.9557349378696152</v>
      </c>
      <c r="J46" s="1">
        <f t="shared" si="0"/>
        <v>-10</v>
      </c>
      <c r="K46" s="1">
        <f t="shared" si="4"/>
        <v>100</v>
      </c>
      <c r="L46" s="1">
        <f t="shared" si="1"/>
        <v>60</v>
      </c>
      <c r="M46" s="1">
        <f t="shared" si="5"/>
        <v>3600</v>
      </c>
      <c r="N46" s="1">
        <f t="shared" si="6"/>
        <v>-600</v>
      </c>
    </row>
    <row r="47" spans="2:14" x14ac:dyDescent="0.25">
      <c r="B47" s="6">
        <v>-10</v>
      </c>
      <c r="C47" s="7">
        <v>65</v>
      </c>
      <c r="D47" s="7">
        <v>13.02</v>
      </c>
      <c r="E47" s="8">
        <v>6.78</v>
      </c>
      <c r="F47" s="1">
        <f t="shared" si="2"/>
        <v>1.9203539823008848</v>
      </c>
      <c r="G47" s="1">
        <f t="shared" si="3"/>
        <v>0.52073732718894017</v>
      </c>
      <c r="H47" s="1">
        <f>D47/$Q$6</f>
        <v>0.92999999999999994</v>
      </c>
      <c r="I47" s="1">
        <f>G47/$Q$8</f>
        <v>2.05941315837434</v>
      </c>
      <c r="J47" s="1">
        <f t="shared" si="0"/>
        <v>-10</v>
      </c>
      <c r="K47" s="1">
        <f t="shared" si="4"/>
        <v>100</v>
      </c>
      <c r="L47" s="1">
        <f t="shared" si="1"/>
        <v>65</v>
      </c>
      <c r="M47" s="1">
        <f t="shared" si="5"/>
        <v>4225</v>
      </c>
      <c r="N47" s="1">
        <f t="shared" si="6"/>
        <v>-650</v>
      </c>
    </row>
    <row r="48" spans="2:14" x14ac:dyDescent="0.25">
      <c r="B48" s="6">
        <v>-10</v>
      </c>
      <c r="C48" s="7">
        <v>70</v>
      </c>
      <c r="D48" s="7">
        <v>12.3</v>
      </c>
      <c r="E48" s="8">
        <v>6.65</v>
      </c>
      <c r="F48" s="1">
        <f t="shared" si="2"/>
        <v>1.8496240601503759</v>
      </c>
      <c r="G48" s="1">
        <f t="shared" si="3"/>
        <v>0.54065040650406504</v>
      </c>
      <c r="H48" s="1">
        <f>D48/$Q$6</f>
        <v>0.87857142857142867</v>
      </c>
      <c r="I48" s="1">
        <f>G48/$Q$8</f>
        <v>2.1381654494511046</v>
      </c>
      <c r="J48" s="1">
        <f t="shared" si="0"/>
        <v>-10</v>
      </c>
      <c r="K48" s="1">
        <f t="shared" si="4"/>
        <v>100</v>
      </c>
      <c r="L48" s="1">
        <f t="shared" si="1"/>
        <v>70</v>
      </c>
      <c r="M48" s="1">
        <f t="shared" si="5"/>
        <v>4900</v>
      </c>
      <c r="N48" s="1">
        <f t="shared" si="6"/>
        <v>-700</v>
      </c>
    </row>
    <row r="49" spans="2:14" x14ac:dyDescent="0.25">
      <c r="B49" s="6">
        <v>-7</v>
      </c>
      <c r="C49" s="7">
        <v>25</v>
      </c>
      <c r="D49" s="7">
        <v>13.93</v>
      </c>
      <c r="E49" s="8">
        <v>4.42</v>
      </c>
      <c r="F49" s="1">
        <f t="shared" si="2"/>
        <v>3.1515837104072397</v>
      </c>
      <c r="G49" s="1">
        <f t="shared" si="3"/>
        <v>0.31730078966259873</v>
      </c>
      <c r="H49" s="1">
        <f>D49/$Q$6</f>
        <v>0.995</v>
      </c>
      <c r="I49" s="1">
        <f>G49/$Q$8</f>
        <v>1.2548618800215769</v>
      </c>
      <c r="J49" s="1">
        <f t="shared" si="0"/>
        <v>-7</v>
      </c>
      <c r="K49" s="1">
        <f t="shared" si="4"/>
        <v>49</v>
      </c>
      <c r="L49" s="1">
        <f t="shared" si="1"/>
        <v>25</v>
      </c>
      <c r="M49" s="1">
        <f t="shared" si="5"/>
        <v>625</v>
      </c>
      <c r="N49" s="1">
        <f t="shared" si="6"/>
        <v>-175</v>
      </c>
    </row>
    <row r="50" spans="2:14" x14ac:dyDescent="0.25">
      <c r="B50" s="6">
        <v>-7</v>
      </c>
      <c r="C50" s="7">
        <v>30</v>
      </c>
      <c r="D50" s="7">
        <v>13.97</v>
      </c>
      <c r="E50" s="8">
        <v>4.47</v>
      </c>
      <c r="F50" s="1">
        <f t="shared" si="2"/>
        <v>3.1252796420581657</v>
      </c>
      <c r="G50" s="1">
        <f t="shared" si="3"/>
        <v>0.31997136721546171</v>
      </c>
      <c r="H50" s="1">
        <f>D50/$Q$6</f>
        <v>0.99785714285714289</v>
      </c>
      <c r="I50" s="1">
        <f>G50/$Q$8</f>
        <v>1.2654234861628431</v>
      </c>
      <c r="J50" s="1">
        <f t="shared" si="0"/>
        <v>-7</v>
      </c>
      <c r="K50" s="1">
        <f t="shared" si="4"/>
        <v>49</v>
      </c>
      <c r="L50" s="1">
        <f t="shared" si="1"/>
        <v>30</v>
      </c>
      <c r="M50" s="1">
        <f t="shared" si="5"/>
        <v>900</v>
      </c>
      <c r="N50" s="1">
        <f t="shared" si="6"/>
        <v>-210</v>
      </c>
    </row>
    <row r="51" spans="2:14" x14ac:dyDescent="0.25">
      <c r="B51" s="6">
        <v>-7</v>
      </c>
      <c r="C51" s="7">
        <v>35</v>
      </c>
      <c r="D51" s="7">
        <v>14</v>
      </c>
      <c r="E51" s="8">
        <v>4.5199999999999996</v>
      </c>
      <c r="F51" s="1">
        <f t="shared" si="2"/>
        <v>3.0973451327433632</v>
      </c>
      <c r="G51" s="1">
        <f t="shared" si="3"/>
        <v>0.32285714285714284</v>
      </c>
      <c r="H51" s="1">
        <f>D51/$Q$6</f>
        <v>1</v>
      </c>
      <c r="I51" s="1">
        <f>G51/$Q$8</f>
        <v>1.2768361581920904</v>
      </c>
      <c r="J51" s="1">
        <f t="shared" si="0"/>
        <v>-7</v>
      </c>
      <c r="K51" s="1">
        <f t="shared" si="4"/>
        <v>49</v>
      </c>
      <c r="L51" s="1">
        <f t="shared" si="1"/>
        <v>35</v>
      </c>
      <c r="M51" s="1">
        <f t="shared" si="5"/>
        <v>1225</v>
      </c>
      <c r="N51" s="1">
        <f t="shared" si="6"/>
        <v>-245</v>
      </c>
    </row>
    <row r="52" spans="2:14" x14ac:dyDescent="0.25">
      <c r="B52" s="6">
        <v>-7</v>
      </c>
      <c r="C52" s="7">
        <v>40</v>
      </c>
      <c r="D52" s="7">
        <v>14</v>
      </c>
      <c r="E52" s="8">
        <v>4.9000000000000004</v>
      </c>
      <c r="F52" s="1">
        <f t="shared" si="2"/>
        <v>2.8571428571428568</v>
      </c>
      <c r="G52" s="1">
        <f t="shared" si="3"/>
        <v>0.35000000000000003</v>
      </c>
      <c r="H52" s="1">
        <f>D52/$Q$6</f>
        <v>1</v>
      </c>
      <c r="I52" s="1">
        <f>G52/$Q$8</f>
        <v>1.3841807909604522</v>
      </c>
      <c r="J52" s="1">
        <f t="shared" si="0"/>
        <v>-7</v>
      </c>
      <c r="K52" s="1">
        <f t="shared" si="4"/>
        <v>49</v>
      </c>
      <c r="L52" s="1">
        <f t="shared" si="1"/>
        <v>40</v>
      </c>
      <c r="M52" s="1">
        <f t="shared" si="5"/>
        <v>1600</v>
      </c>
      <c r="N52" s="1">
        <f t="shared" si="6"/>
        <v>-280</v>
      </c>
    </row>
    <row r="53" spans="2:14" x14ac:dyDescent="0.25">
      <c r="B53" s="6">
        <v>-7</v>
      </c>
      <c r="C53" s="7">
        <v>45</v>
      </c>
      <c r="D53" s="7">
        <v>14</v>
      </c>
      <c r="E53" s="8">
        <v>5.35</v>
      </c>
      <c r="F53" s="1">
        <f t="shared" si="2"/>
        <v>2.6168224299065423</v>
      </c>
      <c r="G53" s="1">
        <f t="shared" si="3"/>
        <v>0.38214285714285712</v>
      </c>
      <c r="H53" s="1">
        <f>D53/$Q$6</f>
        <v>1</v>
      </c>
      <c r="I53" s="1">
        <f>G53/$Q$8</f>
        <v>1.5112994350282487</v>
      </c>
      <c r="J53" s="1">
        <f t="shared" si="0"/>
        <v>-7</v>
      </c>
      <c r="K53" s="1">
        <f t="shared" si="4"/>
        <v>49</v>
      </c>
      <c r="L53" s="1">
        <f t="shared" si="1"/>
        <v>45</v>
      </c>
      <c r="M53" s="1">
        <f t="shared" si="5"/>
        <v>2025</v>
      </c>
      <c r="N53" s="1">
        <f t="shared" si="6"/>
        <v>-315</v>
      </c>
    </row>
    <row r="54" spans="2:14" x14ac:dyDescent="0.25">
      <c r="B54" s="6">
        <v>-7</v>
      </c>
      <c r="C54" s="7">
        <v>50</v>
      </c>
      <c r="D54" s="7">
        <v>14</v>
      </c>
      <c r="E54" s="8">
        <v>5.76</v>
      </c>
      <c r="F54" s="1">
        <f t="shared" si="2"/>
        <v>2.4305555555555558</v>
      </c>
      <c r="G54" s="1">
        <f t="shared" si="3"/>
        <v>0.41142857142857137</v>
      </c>
      <c r="H54" s="1">
        <f>D54/$Q$6</f>
        <v>1</v>
      </c>
      <c r="I54" s="1">
        <f>G54/$Q$8</f>
        <v>1.6271186440677965</v>
      </c>
      <c r="J54" s="1">
        <f t="shared" si="0"/>
        <v>-7</v>
      </c>
      <c r="K54" s="1">
        <f t="shared" si="4"/>
        <v>49</v>
      </c>
      <c r="L54" s="1">
        <f t="shared" si="1"/>
        <v>50</v>
      </c>
      <c r="M54" s="1">
        <f t="shared" si="5"/>
        <v>2500</v>
      </c>
      <c r="N54" s="1">
        <f t="shared" si="6"/>
        <v>-350</v>
      </c>
    </row>
    <row r="55" spans="2:14" x14ac:dyDescent="0.25">
      <c r="B55" s="6">
        <v>-7</v>
      </c>
      <c r="C55" s="7">
        <v>55</v>
      </c>
      <c r="D55" s="7">
        <v>14</v>
      </c>
      <c r="E55" s="8">
        <v>6.09</v>
      </c>
      <c r="F55" s="1">
        <f t="shared" si="2"/>
        <v>2.2988505747126435</v>
      </c>
      <c r="G55" s="1">
        <f t="shared" si="3"/>
        <v>0.43500000000000005</v>
      </c>
      <c r="H55" s="1">
        <f>D55/$Q$6</f>
        <v>1</v>
      </c>
      <c r="I55" s="1">
        <f>G55/$Q$8</f>
        <v>1.7203389830508478</v>
      </c>
      <c r="J55" s="1">
        <f t="shared" si="0"/>
        <v>-7</v>
      </c>
      <c r="K55" s="1">
        <f t="shared" si="4"/>
        <v>49</v>
      </c>
      <c r="L55" s="1">
        <f t="shared" si="1"/>
        <v>55</v>
      </c>
      <c r="M55" s="1">
        <f t="shared" si="5"/>
        <v>3025</v>
      </c>
      <c r="N55" s="1">
        <f t="shared" si="6"/>
        <v>-385</v>
      </c>
    </row>
    <row r="56" spans="2:14" x14ac:dyDescent="0.25">
      <c r="B56" s="6">
        <v>-7</v>
      </c>
      <c r="C56" s="7">
        <v>60</v>
      </c>
      <c r="D56" s="7">
        <v>13.88</v>
      </c>
      <c r="E56" s="8">
        <v>6.38</v>
      </c>
      <c r="F56" s="1">
        <f t="shared" si="2"/>
        <v>2.1755485893416928</v>
      </c>
      <c r="G56" s="1">
        <f t="shared" si="3"/>
        <v>0.4596541786743516</v>
      </c>
      <c r="H56" s="1">
        <f>D56/$Q$6</f>
        <v>0.99142857142857144</v>
      </c>
      <c r="I56" s="1">
        <f>G56/$Q$8</f>
        <v>1.8178413845878314</v>
      </c>
      <c r="J56" s="1">
        <f t="shared" si="0"/>
        <v>-7</v>
      </c>
      <c r="K56" s="1">
        <f t="shared" si="4"/>
        <v>49</v>
      </c>
      <c r="L56" s="1">
        <f t="shared" si="1"/>
        <v>60</v>
      </c>
      <c r="M56" s="1">
        <f t="shared" si="5"/>
        <v>3600</v>
      </c>
      <c r="N56" s="1">
        <f t="shared" si="6"/>
        <v>-420</v>
      </c>
    </row>
    <row r="57" spans="2:14" x14ac:dyDescent="0.25">
      <c r="B57" s="6">
        <v>-7</v>
      </c>
      <c r="C57" s="7">
        <v>65</v>
      </c>
      <c r="D57" s="7">
        <v>13.72</v>
      </c>
      <c r="E57" s="8">
        <v>6.79</v>
      </c>
      <c r="F57" s="1">
        <f t="shared" si="2"/>
        <v>2.0206185567010309</v>
      </c>
      <c r="G57" s="1">
        <f t="shared" si="3"/>
        <v>0.49489795918367346</v>
      </c>
      <c r="H57" s="1">
        <f>D57/$Q$6</f>
        <v>0.98000000000000009</v>
      </c>
      <c r="I57" s="1">
        <f>G57/$Q$8</f>
        <v>1.9572235673930591</v>
      </c>
      <c r="J57" s="1">
        <f t="shared" si="0"/>
        <v>-7</v>
      </c>
      <c r="K57" s="1">
        <f t="shared" si="4"/>
        <v>49</v>
      </c>
      <c r="L57" s="1">
        <f t="shared" si="1"/>
        <v>65</v>
      </c>
      <c r="M57" s="1">
        <f t="shared" si="5"/>
        <v>4225</v>
      </c>
      <c r="N57" s="1">
        <f t="shared" si="6"/>
        <v>-455</v>
      </c>
    </row>
    <row r="58" spans="2:14" x14ac:dyDescent="0.25">
      <c r="B58" s="6">
        <v>-7</v>
      </c>
      <c r="C58" s="7">
        <v>70</v>
      </c>
      <c r="D58" s="7">
        <v>13.51</v>
      </c>
      <c r="E58" s="8">
        <v>6.79</v>
      </c>
      <c r="F58" s="1">
        <f t="shared" si="2"/>
        <v>1.9896907216494846</v>
      </c>
      <c r="G58" s="1">
        <f t="shared" si="3"/>
        <v>0.50259067357512954</v>
      </c>
      <c r="H58" s="1">
        <f>D58/$Q$6</f>
        <v>0.96499999999999997</v>
      </c>
      <c r="I58" s="1">
        <f>G58/$Q$8</f>
        <v>1.9876467316530548</v>
      </c>
      <c r="J58" s="1">
        <f t="shared" si="0"/>
        <v>-7</v>
      </c>
      <c r="K58" s="1">
        <f t="shared" si="4"/>
        <v>49</v>
      </c>
      <c r="L58" s="1">
        <f t="shared" si="1"/>
        <v>70</v>
      </c>
      <c r="M58" s="1">
        <f t="shared" si="5"/>
        <v>4900</v>
      </c>
      <c r="N58" s="1">
        <f t="shared" si="6"/>
        <v>-490</v>
      </c>
    </row>
    <row r="59" spans="2:14" x14ac:dyDescent="0.25">
      <c r="B59" s="6">
        <v>-2</v>
      </c>
      <c r="C59" s="7">
        <v>25</v>
      </c>
      <c r="D59" s="7">
        <v>13.95</v>
      </c>
      <c r="E59" s="8">
        <v>4.33</v>
      </c>
      <c r="F59" s="1">
        <f t="shared" si="2"/>
        <v>3.2217090069284064</v>
      </c>
      <c r="G59" s="1">
        <f t="shared" si="3"/>
        <v>0.31039426523297492</v>
      </c>
      <c r="H59" s="1">
        <f>D59/$Q$6</f>
        <v>0.99642857142857133</v>
      </c>
      <c r="I59" s="1">
        <f>G59/$Q$8</f>
        <v>1.227547941599336</v>
      </c>
      <c r="J59" s="1">
        <f t="shared" si="0"/>
        <v>-2</v>
      </c>
      <c r="K59" s="1">
        <f t="shared" si="4"/>
        <v>4</v>
      </c>
      <c r="L59" s="1">
        <f t="shared" si="1"/>
        <v>25</v>
      </c>
      <c r="M59" s="1">
        <f t="shared" si="5"/>
        <v>625</v>
      </c>
      <c r="N59" s="1">
        <f t="shared" si="6"/>
        <v>-50</v>
      </c>
    </row>
    <row r="60" spans="2:14" x14ac:dyDescent="0.25">
      <c r="B60" s="6">
        <v>-2</v>
      </c>
      <c r="C60" s="7">
        <v>30</v>
      </c>
      <c r="D60" s="7">
        <v>13.98</v>
      </c>
      <c r="E60" s="8">
        <v>4.0999999999999996</v>
      </c>
      <c r="F60" s="1">
        <f t="shared" si="2"/>
        <v>3.409756097560976</v>
      </c>
      <c r="G60" s="1">
        <f t="shared" si="3"/>
        <v>0.29327610872675247</v>
      </c>
      <c r="H60" s="1">
        <f>D60/$Q$6</f>
        <v>0.99857142857142855</v>
      </c>
      <c r="I60" s="1">
        <f>G60/$Q$8</f>
        <v>1.159849017563428</v>
      </c>
      <c r="J60" s="1">
        <f t="shared" si="0"/>
        <v>-2</v>
      </c>
      <c r="K60" s="1">
        <f t="shared" si="4"/>
        <v>4</v>
      </c>
      <c r="L60" s="1">
        <f t="shared" si="1"/>
        <v>30</v>
      </c>
      <c r="M60" s="1">
        <f t="shared" si="5"/>
        <v>900</v>
      </c>
      <c r="N60" s="1">
        <f t="shared" si="6"/>
        <v>-60</v>
      </c>
    </row>
    <row r="61" spans="2:14" x14ac:dyDescent="0.25">
      <c r="B61" s="6">
        <v>-2</v>
      </c>
      <c r="C61" s="7">
        <v>35</v>
      </c>
      <c r="D61" s="7">
        <v>14</v>
      </c>
      <c r="E61" s="8">
        <v>3.9</v>
      </c>
      <c r="F61" s="1">
        <f t="shared" si="2"/>
        <v>3.5897435897435899</v>
      </c>
      <c r="G61" s="1">
        <f t="shared" si="3"/>
        <v>0.27857142857142858</v>
      </c>
      <c r="H61" s="1">
        <f>D61/$Q$6</f>
        <v>1</v>
      </c>
      <c r="I61" s="1">
        <f>G61/$Q$8</f>
        <v>1.1016949152542375</v>
      </c>
      <c r="J61" s="1">
        <f t="shared" si="0"/>
        <v>-2</v>
      </c>
      <c r="K61" s="1">
        <f t="shared" si="4"/>
        <v>4</v>
      </c>
      <c r="L61" s="1">
        <f t="shared" si="1"/>
        <v>35</v>
      </c>
      <c r="M61" s="1">
        <f t="shared" si="5"/>
        <v>1225</v>
      </c>
      <c r="N61" s="1">
        <f t="shared" si="6"/>
        <v>-70</v>
      </c>
    </row>
    <row r="62" spans="2:14" x14ac:dyDescent="0.25">
      <c r="B62" s="6">
        <v>-2</v>
      </c>
      <c r="C62" s="7">
        <v>40</v>
      </c>
      <c r="D62" s="7">
        <v>14</v>
      </c>
      <c r="E62" s="8">
        <v>4.3</v>
      </c>
      <c r="F62" s="1">
        <f t="shared" si="2"/>
        <v>3.2558139534883721</v>
      </c>
      <c r="G62" s="1">
        <f t="shared" si="3"/>
        <v>0.30714285714285716</v>
      </c>
      <c r="H62" s="1">
        <f>D62/$Q$6</f>
        <v>1</v>
      </c>
      <c r="I62" s="1">
        <f>G62/$Q$8</f>
        <v>1.2146892655367234</v>
      </c>
      <c r="J62" s="1">
        <f t="shared" si="0"/>
        <v>-2</v>
      </c>
      <c r="K62" s="1">
        <f t="shared" si="4"/>
        <v>4</v>
      </c>
      <c r="L62" s="1">
        <f t="shared" si="1"/>
        <v>40</v>
      </c>
      <c r="M62" s="1">
        <f t="shared" si="5"/>
        <v>1600</v>
      </c>
      <c r="N62" s="1">
        <f t="shared" si="6"/>
        <v>-80</v>
      </c>
    </row>
    <row r="63" spans="2:14" x14ac:dyDescent="0.25">
      <c r="B63" s="6">
        <v>-2</v>
      </c>
      <c r="C63" s="7">
        <v>45</v>
      </c>
      <c r="D63" s="7">
        <v>14</v>
      </c>
      <c r="E63" s="8">
        <v>4.78</v>
      </c>
      <c r="F63" s="1">
        <f t="shared" si="2"/>
        <v>2.9288702928870292</v>
      </c>
      <c r="G63" s="1">
        <f t="shared" si="3"/>
        <v>0.34142857142857147</v>
      </c>
      <c r="H63" s="1">
        <f>D63/$Q$6</f>
        <v>1</v>
      </c>
      <c r="I63" s="1">
        <f>G63/$Q$8</f>
        <v>1.3502824858757065</v>
      </c>
      <c r="J63" s="1">
        <f t="shared" si="0"/>
        <v>-2</v>
      </c>
      <c r="K63" s="1">
        <f t="shared" si="4"/>
        <v>4</v>
      </c>
      <c r="L63" s="1">
        <f t="shared" si="1"/>
        <v>45</v>
      </c>
      <c r="M63" s="1">
        <f t="shared" si="5"/>
        <v>2025</v>
      </c>
      <c r="N63" s="1">
        <f t="shared" si="6"/>
        <v>-90</v>
      </c>
    </row>
    <row r="64" spans="2:14" x14ac:dyDescent="0.25">
      <c r="B64" s="6">
        <v>-2</v>
      </c>
      <c r="C64" s="7">
        <v>50</v>
      </c>
      <c r="D64" s="7">
        <v>14</v>
      </c>
      <c r="E64" s="8">
        <v>5</v>
      </c>
      <c r="F64" s="1">
        <f t="shared" si="2"/>
        <v>2.8</v>
      </c>
      <c r="G64" s="1">
        <f t="shared" si="3"/>
        <v>0.35714285714285715</v>
      </c>
      <c r="H64" s="1">
        <f>D64/$Q$6</f>
        <v>1</v>
      </c>
      <c r="I64" s="1">
        <f>G64/$Q$8</f>
        <v>1.4124293785310735</v>
      </c>
      <c r="J64" s="1">
        <f t="shared" si="0"/>
        <v>-2</v>
      </c>
      <c r="K64" s="1">
        <f t="shared" si="4"/>
        <v>4</v>
      </c>
      <c r="L64" s="1">
        <f t="shared" si="1"/>
        <v>50</v>
      </c>
      <c r="M64" s="1">
        <f t="shared" si="5"/>
        <v>2500</v>
      </c>
      <c r="N64" s="1">
        <f t="shared" si="6"/>
        <v>-100</v>
      </c>
    </row>
    <row r="65" spans="2:14" x14ac:dyDescent="0.25">
      <c r="B65" s="6">
        <v>-2</v>
      </c>
      <c r="C65" s="7">
        <v>55</v>
      </c>
      <c r="D65" s="7">
        <v>14</v>
      </c>
      <c r="E65" s="8">
        <v>5.17</v>
      </c>
      <c r="F65" s="1">
        <f t="shared" si="2"/>
        <v>2.7079303675048356</v>
      </c>
      <c r="G65" s="1">
        <f t="shared" si="3"/>
        <v>0.36928571428571427</v>
      </c>
      <c r="H65" s="1">
        <f>D65/$Q$6</f>
        <v>1</v>
      </c>
      <c r="I65" s="1">
        <f>G65/$Q$8</f>
        <v>1.46045197740113</v>
      </c>
      <c r="J65" s="1">
        <f t="shared" si="0"/>
        <v>-2</v>
      </c>
      <c r="K65" s="1">
        <f t="shared" si="4"/>
        <v>4</v>
      </c>
      <c r="L65" s="1">
        <f t="shared" si="1"/>
        <v>55</v>
      </c>
      <c r="M65" s="1">
        <f t="shared" si="5"/>
        <v>3025</v>
      </c>
      <c r="N65" s="1">
        <f t="shared" si="6"/>
        <v>-110</v>
      </c>
    </row>
    <row r="66" spans="2:14" x14ac:dyDescent="0.25">
      <c r="B66" s="6">
        <v>-2</v>
      </c>
      <c r="C66" s="7">
        <v>60</v>
      </c>
      <c r="D66" s="7">
        <v>14.32</v>
      </c>
      <c r="E66" s="8">
        <v>5.79</v>
      </c>
      <c r="F66" s="1">
        <f t="shared" si="2"/>
        <v>2.4732297063903284</v>
      </c>
      <c r="G66" s="1">
        <f t="shared" si="3"/>
        <v>0.40432960893854747</v>
      </c>
      <c r="H66" s="1">
        <f>D66/$Q$6</f>
        <v>1.0228571428571429</v>
      </c>
      <c r="I66" s="1">
        <f>G66/$Q$8</f>
        <v>1.5990436511693968</v>
      </c>
      <c r="J66" s="1">
        <f t="shared" ref="J66:J129" si="7">B66</f>
        <v>-2</v>
      </c>
      <c r="K66" s="1">
        <f t="shared" si="4"/>
        <v>4</v>
      </c>
      <c r="L66" s="1">
        <f t="shared" ref="L66:L129" si="8">C66</f>
        <v>60</v>
      </c>
      <c r="M66" s="1">
        <f t="shared" si="5"/>
        <v>3600</v>
      </c>
      <c r="N66" s="1">
        <f t="shared" si="6"/>
        <v>-120</v>
      </c>
    </row>
    <row r="67" spans="2:14" x14ac:dyDescent="0.25">
      <c r="B67" s="6">
        <v>-2</v>
      </c>
      <c r="C67" s="7">
        <v>65</v>
      </c>
      <c r="D67" s="7">
        <v>14.71</v>
      </c>
      <c r="E67" s="8">
        <v>6.76</v>
      </c>
      <c r="F67" s="1">
        <f t="shared" si="2"/>
        <v>2.1760355029585803</v>
      </c>
      <c r="G67" s="1">
        <f t="shared" si="3"/>
        <v>0.45955132562882384</v>
      </c>
      <c r="H67" s="1">
        <f>D67/$Q$6</f>
        <v>1.0507142857142857</v>
      </c>
      <c r="I67" s="1">
        <f>G67/$Q$8</f>
        <v>1.8174346211309418</v>
      </c>
      <c r="J67" s="1">
        <f t="shared" si="7"/>
        <v>-2</v>
      </c>
      <c r="K67" s="1">
        <f t="shared" si="4"/>
        <v>4</v>
      </c>
      <c r="L67" s="1">
        <f t="shared" si="8"/>
        <v>65</v>
      </c>
      <c r="M67" s="1">
        <f t="shared" si="5"/>
        <v>4225</v>
      </c>
      <c r="N67" s="1">
        <f t="shared" si="6"/>
        <v>-130</v>
      </c>
    </row>
    <row r="68" spans="2:14" x14ac:dyDescent="0.25">
      <c r="B68" s="6">
        <v>-2</v>
      </c>
      <c r="C68" s="7">
        <v>70</v>
      </c>
      <c r="D68" s="7">
        <v>14.57</v>
      </c>
      <c r="E68" s="8">
        <v>6.78</v>
      </c>
      <c r="F68" s="1">
        <f t="shared" si="2"/>
        <v>2.1489675516224187</v>
      </c>
      <c r="G68" s="1">
        <f t="shared" si="3"/>
        <v>0.46533973919011673</v>
      </c>
      <c r="H68" s="1">
        <f>D68/$Q$6</f>
        <v>1.0407142857142857</v>
      </c>
      <c r="I68" s="1">
        <f>G68/$Q$8</f>
        <v>1.8403266521643036</v>
      </c>
      <c r="J68" s="1">
        <f t="shared" si="7"/>
        <v>-2</v>
      </c>
      <c r="K68" s="1">
        <f t="shared" si="4"/>
        <v>4</v>
      </c>
      <c r="L68" s="1">
        <f t="shared" si="8"/>
        <v>70</v>
      </c>
      <c r="M68" s="1">
        <f t="shared" si="5"/>
        <v>4900</v>
      </c>
      <c r="N68" s="1">
        <f t="shared" si="6"/>
        <v>-140</v>
      </c>
    </row>
    <row r="69" spans="2:14" x14ac:dyDescent="0.25">
      <c r="B69" s="6">
        <v>2</v>
      </c>
      <c r="C69" s="7">
        <v>25</v>
      </c>
      <c r="D69" s="7">
        <v>13.96</v>
      </c>
      <c r="E69" s="8">
        <v>2.73</v>
      </c>
      <c r="F69" s="1">
        <f t="shared" si="2"/>
        <v>5.113553113553114</v>
      </c>
      <c r="G69" s="1">
        <f t="shared" si="3"/>
        <v>0.1955587392550143</v>
      </c>
      <c r="H69" s="1">
        <f>D69/$Q$6</f>
        <v>0.99714285714285722</v>
      </c>
      <c r="I69" s="1">
        <f>G69/$Q$8</f>
        <v>0.77339614394638434</v>
      </c>
      <c r="J69" s="1">
        <f t="shared" si="7"/>
        <v>2</v>
      </c>
      <c r="K69" s="1">
        <f t="shared" si="4"/>
        <v>4</v>
      </c>
      <c r="L69" s="1">
        <f t="shared" si="8"/>
        <v>25</v>
      </c>
      <c r="M69" s="1">
        <f t="shared" si="5"/>
        <v>625</v>
      </c>
      <c r="N69" s="1">
        <f t="shared" si="6"/>
        <v>50</v>
      </c>
    </row>
    <row r="70" spans="2:14" x14ac:dyDescent="0.25">
      <c r="B70" s="6">
        <v>2</v>
      </c>
      <c r="C70" s="7">
        <v>30</v>
      </c>
      <c r="D70" s="7">
        <v>13.98</v>
      </c>
      <c r="E70" s="8">
        <v>3</v>
      </c>
      <c r="F70" s="1">
        <f t="shared" si="2"/>
        <v>4.66</v>
      </c>
      <c r="G70" s="1">
        <f t="shared" si="3"/>
        <v>0.21459227467811159</v>
      </c>
      <c r="H70" s="1">
        <f>D70/$Q$6</f>
        <v>0.99857142857142855</v>
      </c>
      <c r="I70" s="1">
        <f>G70/$Q$8</f>
        <v>0.84867001285128885</v>
      </c>
      <c r="J70" s="1">
        <f t="shared" si="7"/>
        <v>2</v>
      </c>
      <c r="K70" s="1">
        <f t="shared" si="4"/>
        <v>4</v>
      </c>
      <c r="L70" s="1">
        <f t="shared" si="8"/>
        <v>30</v>
      </c>
      <c r="M70" s="1">
        <f t="shared" si="5"/>
        <v>900</v>
      </c>
      <c r="N70" s="1">
        <f t="shared" si="6"/>
        <v>60</v>
      </c>
    </row>
    <row r="71" spans="2:14" x14ac:dyDescent="0.25">
      <c r="B71" s="6">
        <v>2</v>
      </c>
      <c r="C71" s="7">
        <v>35</v>
      </c>
      <c r="D71" s="7">
        <v>14</v>
      </c>
      <c r="E71" s="8">
        <v>3.33</v>
      </c>
      <c r="F71" s="1">
        <f t="shared" si="2"/>
        <v>4.2042042042042045</v>
      </c>
      <c r="G71" s="1">
        <f t="shared" si="3"/>
        <v>0.23785714285714285</v>
      </c>
      <c r="H71" s="1">
        <f>D71/$Q$6</f>
        <v>1</v>
      </c>
      <c r="I71" s="1">
        <f>G71/$Q$8</f>
        <v>0.94067796610169496</v>
      </c>
      <c r="J71" s="1">
        <f t="shared" si="7"/>
        <v>2</v>
      </c>
      <c r="K71" s="1">
        <f t="shared" si="4"/>
        <v>4</v>
      </c>
      <c r="L71" s="1">
        <f t="shared" si="8"/>
        <v>35</v>
      </c>
      <c r="M71" s="1">
        <f t="shared" si="5"/>
        <v>1225</v>
      </c>
      <c r="N71" s="1">
        <f t="shared" si="6"/>
        <v>70</v>
      </c>
    </row>
    <row r="72" spans="2:14" x14ac:dyDescent="0.25">
      <c r="B72" s="6">
        <v>2</v>
      </c>
      <c r="C72" s="7">
        <v>40</v>
      </c>
      <c r="D72" s="7">
        <v>14</v>
      </c>
      <c r="E72" s="8">
        <v>3.72</v>
      </c>
      <c r="F72" s="1">
        <f t="shared" si="2"/>
        <v>3.7634408602150535</v>
      </c>
      <c r="G72" s="1">
        <f t="shared" si="3"/>
        <v>0.26571428571428574</v>
      </c>
      <c r="H72" s="1">
        <f>D72/$Q$6</f>
        <v>1</v>
      </c>
      <c r="I72" s="1">
        <f>G72/$Q$8</f>
        <v>1.0508474576271187</v>
      </c>
      <c r="J72" s="1">
        <f t="shared" si="7"/>
        <v>2</v>
      </c>
      <c r="K72" s="1">
        <f t="shared" si="4"/>
        <v>4</v>
      </c>
      <c r="L72" s="1">
        <f t="shared" si="8"/>
        <v>40</v>
      </c>
      <c r="M72" s="1">
        <f t="shared" si="5"/>
        <v>1600</v>
      </c>
      <c r="N72" s="1">
        <f t="shared" si="6"/>
        <v>80</v>
      </c>
    </row>
    <row r="73" spans="2:14" x14ac:dyDescent="0.25">
      <c r="B73" s="6">
        <v>2</v>
      </c>
      <c r="C73" s="7">
        <v>45</v>
      </c>
      <c r="D73" s="7">
        <v>14</v>
      </c>
      <c r="E73" s="8">
        <v>4.2</v>
      </c>
      <c r="F73" s="1">
        <f t="shared" si="2"/>
        <v>3.333333333333333</v>
      </c>
      <c r="G73" s="1">
        <f t="shared" si="3"/>
        <v>0.30000000000000004</v>
      </c>
      <c r="H73" s="1">
        <f>D73/$Q$6</f>
        <v>1</v>
      </c>
      <c r="I73" s="1">
        <f>G73/$Q$8</f>
        <v>1.1864406779661019</v>
      </c>
      <c r="J73" s="1">
        <f t="shared" si="7"/>
        <v>2</v>
      </c>
      <c r="K73" s="1">
        <f t="shared" si="4"/>
        <v>4</v>
      </c>
      <c r="L73" s="1">
        <f t="shared" si="8"/>
        <v>45</v>
      </c>
      <c r="M73" s="1">
        <f t="shared" si="5"/>
        <v>2025</v>
      </c>
      <c r="N73" s="1">
        <f t="shared" si="6"/>
        <v>90</v>
      </c>
    </row>
    <row r="74" spans="2:14" x14ac:dyDescent="0.25">
      <c r="B74" s="6">
        <v>2</v>
      </c>
      <c r="C74" s="7">
        <v>50</v>
      </c>
      <c r="D74" s="7">
        <v>14</v>
      </c>
      <c r="E74" s="8">
        <v>4.54</v>
      </c>
      <c r="F74" s="1">
        <f t="shared" si="2"/>
        <v>3.0837004405286343</v>
      </c>
      <c r="G74" s="1">
        <f t="shared" si="3"/>
        <v>0.32428571428571429</v>
      </c>
      <c r="H74" s="1">
        <f>D74/$Q$6</f>
        <v>1</v>
      </c>
      <c r="I74" s="1">
        <f>G74/$Q$8</f>
        <v>1.2824858757062148</v>
      </c>
      <c r="J74" s="1">
        <f t="shared" si="7"/>
        <v>2</v>
      </c>
      <c r="K74" s="1">
        <f t="shared" si="4"/>
        <v>4</v>
      </c>
      <c r="L74" s="1">
        <f t="shared" si="8"/>
        <v>50</v>
      </c>
      <c r="M74" s="1">
        <f t="shared" si="5"/>
        <v>2500</v>
      </c>
      <c r="N74" s="1">
        <f t="shared" si="6"/>
        <v>100</v>
      </c>
    </row>
    <row r="75" spans="2:14" x14ac:dyDescent="0.25">
      <c r="B75" s="6">
        <v>2</v>
      </c>
      <c r="C75" s="7">
        <v>55</v>
      </c>
      <c r="D75" s="7">
        <v>14</v>
      </c>
      <c r="E75" s="8">
        <v>4.8099999999999996</v>
      </c>
      <c r="F75" s="1">
        <f t="shared" si="2"/>
        <v>2.9106029106029108</v>
      </c>
      <c r="G75" s="1">
        <f t="shared" si="3"/>
        <v>0.34357142857142853</v>
      </c>
      <c r="H75" s="1">
        <f>D75/$Q$6</f>
        <v>1</v>
      </c>
      <c r="I75" s="1">
        <f>G75/$Q$8</f>
        <v>1.3587570621468925</v>
      </c>
      <c r="J75" s="1">
        <f t="shared" si="7"/>
        <v>2</v>
      </c>
      <c r="K75" s="1">
        <f t="shared" si="4"/>
        <v>4</v>
      </c>
      <c r="L75" s="1">
        <f t="shared" si="8"/>
        <v>55</v>
      </c>
      <c r="M75" s="1">
        <f t="shared" si="5"/>
        <v>3025</v>
      </c>
      <c r="N75" s="1">
        <f t="shared" si="6"/>
        <v>110</v>
      </c>
    </row>
    <row r="76" spans="2:14" x14ac:dyDescent="0.25">
      <c r="B76" s="6">
        <v>2</v>
      </c>
      <c r="C76" s="7">
        <v>60</v>
      </c>
      <c r="D76" s="7">
        <v>14.6</v>
      </c>
      <c r="E76" s="8">
        <v>5.45</v>
      </c>
      <c r="F76" s="1">
        <f t="shared" si="2"/>
        <v>2.6788990825688073</v>
      </c>
      <c r="G76" s="1">
        <f t="shared" si="3"/>
        <v>0.37328767123287671</v>
      </c>
      <c r="H76" s="1">
        <f>D76/$Q$6</f>
        <v>1.0428571428571429</v>
      </c>
      <c r="I76" s="1">
        <f>G76/$Q$8</f>
        <v>1.4762789257797384</v>
      </c>
      <c r="J76" s="1">
        <f t="shared" si="7"/>
        <v>2</v>
      </c>
      <c r="K76" s="1">
        <f t="shared" si="4"/>
        <v>4</v>
      </c>
      <c r="L76" s="1">
        <f t="shared" si="8"/>
        <v>60</v>
      </c>
      <c r="M76" s="1">
        <f t="shared" si="5"/>
        <v>3600</v>
      </c>
      <c r="N76" s="1">
        <f t="shared" si="6"/>
        <v>120</v>
      </c>
    </row>
    <row r="77" spans="2:14" x14ac:dyDescent="0.25">
      <c r="B77" s="6">
        <v>2</v>
      </c>
      <c r="C77" s="7">
        <v>65</v>
      </c>
      <c r="D77" s="7">
        <v>15.36</v>
      </c>
      <c r="E77" s="8">
        <v>6.44</v>
      </c>
      <c r="F77" s="1">
        <f t="shared" si="2"/>
        <v>2.385093167701863</v>
      </c>
      <c r="G77" s="1">
        <f t="shared" si="3"/>
        <v>0.41927083333333343</v>
      </c>
      <c r="H77" s="1">
        <f>D77/$Q$6</f>
        <v>1.0971428571428572</v>
      </c>
      <c r="I77" s="1">
        <f>G77/$Q$8</f>
        <v>1.6581332391713752</v>
      </c>
      <c r="J77" s="1">
        <f t="shared" si="7"/>
        <v>2</v>
      </c>
      <c r="K77" s="1">
        <f t="shared" si="4"/>
        <v>4</v>
      </c>
      <c r="L77" s="1">
        <f t="shared" si="8"/>
        <v>65</v>
      </c>
      <c r="M77" s="1">
        <f t="shared" si="5"/>
        <v>4225</v>
      </c>
      <c r="N77" s="1">
        <f t="shared" si="6"/>
        <v>130</v>
      </c>
    </row>
    <row r="78" spans="2:14" x14ac:dyDescent="0.25">
      <c r="B78" s="6">
        <v>2</v>
      </c>
      <c r="C78" s="7">
        <v>70</v>
      </c>
      <c r="D78" s="7">
        <v>15.21</v>
      </c>
      <c r="E78" s="8">
        <v>6.73</v>
      </c>
      <c r="F78" s="1">
        <f t="shared" si="2"/>
        <v>2.2600297176820208</v>
      </c>
      <c r="G78" s="1">
        <f t="shared" si="3"/>
        <v>0.44247205785667326</v>
      </c>
      <c r="H78" s="1">
        <f>D78/$Q$6</f>
        <v>1.0864285714285715</v>
      </c>
      <c r="I78" s="1">
        <f>G78/$Q$8</f>
        <v>1.7498894943484256</v>
      </c>
      <c r="J78" s="1">
        <f t="shared" si="7"/>
        <v>2</v>
      </c>
      <c r="K78" s="1">
        <f t="shared" si="4"/>
        <v>4</v>
      </c>
      <c r="L78" s="1">
        <f t="shared" si="8"/>
        <v>70</v>
      </c>
      <c r="M78" s="1">
        <f t="shared" si="5"/>
        <v>4900</v>
      </c>
      <c r="N78" s="1">
        <f t="shared" si="6"/>
        <v>140</v>
      </c>
    </row>
    <row r="79" spans="2:14" x14ac:dyDescent="0.25">
      <c r="B79" s="6">
        <v>7</v>
      </c>
      <c r="C79" s="7">
        <v>25</v>
      </c>
      <c r="D79" s="7">
        <v>14</v>
      </c>
      <c r="E79" s="8">
        <v>2.2400000000000002</v>
      </c>
      <c r="F79" s="1">
        <f t="shared" si="2"/>
        <v>6.2499999999999991</v>
      </c>
      <c r="G79" s="1">
        <f t="shared" si="3"/>
        <v>0.16000000000000003</v>
      </c>
      <c r="H79" s="1">
        <f>D79/$Q$6</f>
        <v>1</v>
      </c>
      <c r="I79" s="1">
        <f>G79/$Q$8</f>
        <v>0.63276836158192107</v>
      </c>
      <c r="J79" s="1">
        <f t="shared" si="7"/>
        <v>7</v>
      </c>
      <c r="K79" s="1">
        <f t="shared" si="4"/>
        <v>49</v>
      </c>
      <c r="L79" s="1">
        <f t="shared" si="8"/>
        <v>25</v>
      </c>
      <c r="M79" s="1">
        <f t="shared" si="5"/>
        <v>625</v>
      </c>
      <c r="N79" s="1">
        <f t="shared" si="6"/>
        <v>175</v>
      </c>
    </row>
    <row r="80" spans="2:14" x14ac:dyDescent="0.25">
      <c r="B80" s="6">
        <v>7</v>
      </c>
      <c r="C80" s="7">
        <v>30</v>
      </c>
      <c r="D80" s="7">
        <v>14</v>
      </c>
      <c r="E80" s="8">
        <v>2.48</v>
      </c>
      <c r="F80" s="1">
        <f t="shared" si="2"/>
        <v>5.645161290322581</v>
      </c>
      <c r="G80" s="1">
        <f t="shared" si="3"/>
        <v>0.17714285714285713</v>
      </c>
      <c r="H80" s="1">
        <f>D80/$Q$6</f>
        <v>1</v>
      </c>
      <c r="I80" s="1">
        <f>G80/$Q$8</f>
        <v>0.70056497175141241</v>
      </c>
      <c r="J80" s="1">
        <f t="shared" si="7"/>
        <v>7</v>
      </c>
      <c r="K80" s="1">
        <f t="shared" si="4"/>
        <v>49</v>
      </c>
      <c r="L80" s="1">
        <f t="shared" si="8"/>
        <v>30</v>
      </c>
      <c r="M80" s="1">
        <f t="shared" si="5"/>
        <v>900</v>
      </c>
      <c r="N80" s="1">
        <f t="shared" si="6"/>
        <v>210</v>
      </c>
    </row>
    <row r="81" spans="2:28" x14ac:dyDescent="0.25">
      <c r="B81" s="6">
        <v>7</v>
      </c>
      <c r="C81" s="7">
        <v>35</v>
      </c>
      <c r="D81" s="7">
        <v>14</v>
      </c>
      <c r="E81" s="8">
        <v>2.77</v>
      </c>
      <c r="F81" s="1">
        <f t="shared" si="2"/>
        <v>5.0541516245487363</v>
      </c>
      <c r="G81" s="1">
        <f t="shared" si="3"/>
        <v>0.19785714285714287</v>
      </c>
      <c r="H81" s="1">
        <f>D81/$Q$6</f>
        <v>1</v>
      </c>
      <c r="I81" s="1">
        <f>G81/$Q$8</f>
        <v>0.78248587570621486</v>
      </c>
      <c r="J81" s="1">
        <f t="shared" si="7"/>
        <v>7</v>
      </c>
      <c r="K81" s="1">
        <f t="shared" si="4"/>
        <v>49</v>
      </c>
      <c r="L81" s="1">
        <f t="shared" si="8"/>
        <v>35</v>
      </c>
      <c r="M81" s="1">
        <f t="shared" si="5"/>
        <v>1225</v>
      </c>
      <c r="N81" s="1">
        <f t="shared" si="6"/>
        <v>245</v>
      </c>
    </row>
    <row r="82" spans="2:28" ht="13.2" x14ac:dyDescent="0.25">
      <c r="B82" s="6">
        <v>7</v>
      </c>
      <c r="C82" s="7">
        <v>40</v>
      </c>
      <c r="D82" s="7">
        <v>14</v>
      </c>
      <c r="E82" s="8">
        <v>3.11</v>
      </c>
      <c r="F82" s="1">
        <f t="shared" si="2"/>
        <v>4.501607717041801</v>
      </c>
      <c r="G82" s="1">
        <f t="shared" si="3"/>
        <v>0.22214285714285711</v>
      </c>
      <c r="H82" s="1">
        <f>D82/$Q$6</f>
        <v>1</v>
      </c>
      <c r="I82" s="1">
        <f>G82/$Q$8</f>
        <v>0.87853107344632764</v>
      </c>
      <c r="J82" s="1">
        <f t="shared" si="7"/>
        <v>7</v>
      </c>
      <c r="K82" s="1">
        <f t="shared" si="4"/>
        <v>49</v>
      </c>
      <c r="L82" s="1">
        <f t="shared" si="8"/>
        <v>40</v>
      </c>
      <c r="M82" s="1">
        <f t="shared" si="5"/>
        <v>1600</v>
      </c>
      <c r="N82" s="1">
        <f t="shared" si="6"/>
        <v>280</v>
      </c>
    </row>
    <row r="83" spans="2:28" s="5" customFormat="1" ht="21.6" customHeight="1" x14ac:dyDescent="0.25">
      <c r="B83" s="14">
        <v>7</v>
      </c>
      <c r="C83" s="15">
        <v>45</v>
      </c>
      <c r="D83" s="15">
        <v>14</v>
      </c>
      <c r="E83" s="16">
        <v>3.54</v>
      </c>
      <c r="F83" s="17">
        <f t="shared" si="2"/>
        <v>3.9548022598870056</v>
      </c>
      <c r="G83" s="17">
        <f t="shared" si="3"/>
        <v>0.25285714285714284</v>
      </c>
      <c r="H83" s="17">
        <f>D83/$Q$6</f>
        <v>1</v>
      </c>
      <c r="I83" s="17">
        <f>G83/$Q$8</f>
        <v>1</v>
      </c>
      <c r="J83" s="17">
        <f t="shared" si="7"/>
        <v>7</v>
      </c>
      <c r="K83" s="17">
        <f t="shared" si="4"/>
        <v>49</v>
      </c>
      <c r="L83" s="17">
        <f t="shared" si="8"/>
        <v>45</v>
      </c>
      <c r="M83" s="17">
        <f t="shared" si="5"/>
        <v>2025</v>
      </c>
      <c r="N83" s="17">
        <f t="shared" si="6"/>
        <v>315</v>
      </c>
      <c r="O83" s="18"/>
      <c r="P83" s="13" t="s">
        <v>30</v>
      </c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</row>
    <row r="84" spans="2:28" ht="13.2" x14ac:dyDescent="0.25">
      <c r="B84" s="6">
        <v>7</v>
      </c>
      <c r="C84" s="7">
        <v>50</v>
      </c>
      <c r="D84" s="7">
        <v>14</v>
      </c>
      <c r="E84" s="8">
        <v>3.85</v>
      </c>
      <c r="F84" s="1">
        <f t="shared" si="2"/>
        <v>3.6363636363636362</v>
      </c>
      <c r="G84" s="1">
        <f t="shared" si="3"/>
        <v>0.27500000000000002</v>
      </c>
      <c r="H84" s="1">
        <f>D84/$Q$6</f>
        <v>1</v>
      </c>
      <c r="I84" s="1">
        <f>G84/$Q$8</f>
        <v>1.0875706214689267</v>
      </c>
      <c r="J84" s="1">
        <f t="shared" si="7"/>
        <v>7</v>
      </c>
      <c r="K84" s="1">
        <f t="shared" si="4"/>
        <v>49</v>
      </c>
      <c r="L84" s="1">
        <f t="shared" si="8"/>
        <v>50</v>
      </c>
      <c r="M84" s="1">
        <f t="shared" si="5"/>
        <v>2500</v>
      </c>
      <c r="N84" s="1">
        <f t="shared" si="6"/>
        <v>350</v>
      </c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 spans="2:28" x14ac:dyDescent="0.25">
      <c r="B85" s="6">
        <v>7</v>
      </c>
      <c r="C85" s="7">
        <v>55</v>
      </c>
      <c r="D85" s="7">
        <v>14</v>
      </c>
      <c r="E85" s="8">
        <v>4.18</v>
      </c>
      <c r="F85" s="1">
        <f t="shared" si="2"/>
        <v>3.3492822966507179</v>
      </c>
      <c r="G85" s="1">
        <f t="shared" si="3"/>
        <v>0.29857142857142854</v>
      </c>
      <c r="H85" s="1">
        <f>D85/$Q$6</f>
        <v>1</v>
      </c>
      <c r="I85" s="1">
        <f>G85/$Q$8</f>
        <v>1.1807909604519773</v>
      </c>
      <c r="J85" s="1">
        <f t="shared" si="7"/>
        <v>7</v>
      </c>
      <c r="K85" s="1">
        <f t="shared" si="4"/>
        <v>49</v>
      </c>
      <c r="L85" s="1">
        <f t="shared" si="8"/>
        <v>55</v>
      </c>
      <c r="M85" s="1">
        <f t="shared" si="5"/>
        <v>3025</v>
      </c>
      <c r="N85" s="1">
        <f t="shared" si="6"/>
        <v>385</v>
      </c>
    </row>
    <row r="86" spans="2:28" x14ac:dyDescent="0.25">
      <c r="B86" s="6">
        <v>7</v>
      </c>
      <c r="C86" s="7">
        <v>60</v>
      </c>
      <c r="D86" s="7">
        <v>14.8</v>
      </c>
      <c r="E86" s="8">
        <v>4.9000000000000004</v>
      </c>
      <c r="F86" s="1">
        <f t="shared" si="2"/>
        <v>3.0204081632653059</v>
      </c>
      <c r="G86" s="1">
        <f t="shared" si="3"/>
        <v>0.33108108108108109</v>
      </c>
      <c r="H86" s="1">
        <f>D86/$Q$6</f>
        <v>1.0571428571428572</v>
      </c>
      <c r="I86" s="1">
        <f>G86/$Q$8</f>
        <v>1.3093602076652926</v>
      </c>
      <c r="J86" s="1">
        <f t="shared" si="7"/>
        <v>7</v>
      </c>
      <c r="K86" s="1">
        <f t="shared" si="4"/>
        <v>49</v>
      </c>
      <c r="L86" s="1">
        <f t="shared" si="8"/>
        <v>60</v>
      </c>
      <c r="M86" s="1">
        <f t="shared" si="5"/>
        <v>3600</v>
      </c>
      <c r="N86" s="1">
        <f t="shared" si="6"/>
        <v>420</v>
      </c>
    </row>
    <row r="87" spans="2:28" x14ac:dyDescent="0.25">
      <c r="B87" s="6">
        <v>7</v>
      </c>
      <c r="C87" s="7">
        <v>65</v>
      </c>
      <c r="D87" s="7">
        <v>15.7</v>
      </c>
      <c r="E87" s="8">
        <v>5.88</v>
      </c>
      <c r="F87" s="1">
        <f t="shared" si="2"/>
        <v>2.6700680272108843</v>
      </c>
      <c r="G87" s="1">
        <f t="shared" si="3"/>
        <v>0.3745222929936306</v>
      </c>
      <c r="H87" s="1">
        <f>D87/$Q$6</f>
        <v>1.1214285714285714</v>
      </c>
      <c r="I87" s="1">
        <f>G87/$Q$8</f>
        <v>1.4811616107092738</v>
      </c>
      <c r="J87" s="1">
        <f t="shared" si="7"/>
        <v>7</v>
      </c>
      <c r="K87" s="1">
        <f t="shared" si="4"/>
        <v>49</v>
      </c>
      <c r="L87" s="1">
        <f t="shared" si="8"/>
        <v>65</v>
      </c>
      <c r="M87" s="1">
        <f t="shared" si="5"/>
        <v>4225</v>
      </c>
      <c r="N87" s="1">
        <f t="shared" si="6"/>
        <v>455</v>
      </c>
    </row>
    <row r="88" spans="2:28" x14ac:dyDescent="0.25">
      <c r="B88" s="6">
        <v>7</v>
      </c>
      <c r="C88" s="7">
        <v>70</v>
      </c>
      <c r="D88" s="7">
        <v>16.3</v>
      </c>
      <c r="E88" s="8">
        <v>6.78</v>
      </c>
      <c r="F88" s="1">
        <f t="shared" si="2"/>
        <v>2.4041297935103243</v>
      </c>
      <c r="G88" s="1">
        <f t="shared" si="3"/>
        <v>0.41595092024539881</v>
      </c>
      <c r="H88" s="1">
        <f>D88/$Q$6</f>
        <v>1.1642857142857144</v>
      </c>
      <c r="I88" s="1">
        <f>G88/$Q$8</f>
        <v>1.645003639388583</v>
      </c>
      <c r="J88" s="1">
        <f t="shared" si="7"/>
        <v>7</v>
      </c>
      <c r="K88" s="1">
        <f t="shared" si="4"/>
        <v>49</v>
      </c>
      <c r="L88" s="1">
        <f t="shared" si="8"/>
        <v>70</v>
      </c>
      <c r="M88" s="1">
        <f t="shared" si="5"/>
        <v>4900</v>
      </c>
      <c r="N88" s="1">
        <f t="shared" si="6"/>
        <v>490</v>
      </c>
    </row>
    <row r="89" spans="2:28" x14ac:dyDescent="0.25">
      <c r="B89" s="6">
        <v>12</v>
      </c>
      <c r="C89" s="7">
        <v>25</v>
      </c>
      <c r="D89" s="7">
        <v>14.49</v>
      </c>
      <c r="E89" s="8">
        <v>1.89</v>
      </c>
      <c r="F89" s="1">
        <f t="shared" si="2"/>
        <v>7.666666666666667</v>
      </c>
      <c r="G89" s="1">
        <f t="shared" si="3"/>
        <v>0.13043478260869565</v>
      </c>
      <c r="H89" s="1">
        <f>D89/$Q$6</f>
        <v>1.0349999999999999</v>
      </c>
      <c r="I89" s="1">
        <f>G89/$Q$8</f>
        <v>0.51584377302873985</v>
      </c>
      <c r="J89" s="1">
        <f t="shared" si="7"/>
        <v>12</v>
      </c>
      <c r="K89" s="1">
        <f t="shared" si="4"/>
        <v>144</v>
      </c>
      <c r="L89" s="1">
        <f t="shared" si="8"/>
        <v>25</v>
      </c>
      <c r="M89" s="1">
        <f t="shared" si="5"/>
        <v>625</v>
      </c>
      <c r="N89" s="1">
        <f t="shared" si="6"/>
        <v>300</v>
      </c>
    </row>
    <row r="90" spans="2:28" x14ac:dyDescent="0.25">
      <c r="B90" s="6">
        <v>12</v>
      </c>
      <c r="C90" s="7">
        <v>30</v>
      </c>
      <c r="D90" s="7">
        <v>14.54</v>
      </c>
      <c r="E90" s="8">
        <v>2.17</v>
      </c>
      <c r="F90" s="1">
        <f t="shared" si="2"/>
        <v>6.7004608294930872</v>
      </c>
      <c r="G90" s="1">
        <f t="shared" si="3"/>
        <v>0.14924346629986246</v>
      </c>
      <c r="H90" s="1">
        <f>D90/$Q$6</f>
        <v>1.0385714285714285</v>
      </c>
      <c r="I90" s="1">
        <f>G90/$Q$8</f>
        <v>0.59022839779606628</v>
      </c>
      <c r="J90" s="1">
        <f t="shared" si="7"/>
        <v>12</v>
      </c>
      <c r="K90" s="1">
        <f t="shared" si="4"/>
        <v>144</v>
      </c>
      <c r="L90" s="1">
        <f t="shared" si="8"/>
        <v>30</v>
      </c>
      <c r="M90" s="1">
        <f t="shared" si="5"/>
        <v>900</v>
      </c>
      <c r="N90" s="1">
        <f t="shared" si="6"/>
        <v>360</v>
      </c>
    </row>
    <row r="91" spans="2:28" x14ac:dyDescent="0.25">
      <c r="B91" s="6">
        <v>12</v>
      </c>
      <c r="C91" s="7">
        <v>35</v>
      </c>
      <c r="D91" s="7">
        <v>14.59</v>
      </c>
      <c r="E91" s="8">
        <v>2.52</v>
      </c>
      <c r="F91" s="1">
        <f t="shared" si="2"/>
        <v>5.7896825396825395</v>
      </c>
      <c r="G91" s="1">
        <f t="shared" si="3"/>
        <v>0.17272104180945855</v>
      </c>
      <c r="H91" s="1">
        <f>D91/$Q$6</f>
        <v>1.042142857142857</v>
      </c>
      <c r="I91" s="1">
        <f>G91/$Q$8</f>
        <v>0.68307756647808471</v>
      </c>
      <c r="J91" s="1">
        <f t="shared" si="7"/>
        <v>12</v>
      </c>
      <c r="K91" s="1">
        <f t="shared" si="4"/>
        <v>144</v>
      </c>
      <c r="L91" s="1">
        <f t="shared" si="8"/>
        <v>35</v>
      </c>
      <c r="M91" s="1">
        <f t="shared" si="5"/>
        <v>1225</v>
      </c>
      <c r="N91" s="1">
        <f t="shared" si="6"/>
        <v>420</v>
      </c>
    </row>
    <row r="92" spans="2:28" x14ac:dyDescent="0.25">
      <c r="B92" s="6">
        <v>12</v>
      </c>
      <c r="C92" s="7">
        <v>40</v>
      </c>
      <c r="D92" s="7">
        <v>14.65</v>
      </c>
      <c r="E92" s="8">
        <v>2.89</v>
      </c>
      <c r="F92" s="1">
        <f t="shared" si="2"/>
        <v>5.0692041522491351</v>
      </c>
      <c r="G92" s="1">
        <f t="shared" si="3"/>
        <v>0.19726962457337882</v>
      </c>
      <c r="H92" s="1">
        <f>D92/$Q$6</f>
        <v>1.0464285714285715</v>
      </c>
      <c r="I92" s="1">
        <f>G92/$Q$8</f>
        <v>0.78016235706985981</v>
      </c>
      <c r="J92" s="1">
        <f t="shared" si="7"/>
        <v>12</v>
      </c>
      <c r="K92" s="1">
        <f t="shared" si="4"/>
        <v>144</v>
      </c>
      <c r="L92" s="1">
        <f t="shared" si="8"/>
        <v>40</v>
      </c>
      <c r="M92" s="1">
        <f t="shared" si="5"/>
        <v>1600</v>
      </c>
      <c r="N92" s="1">
        <f t="shared" si="6"/>
        <v>480</v>
      </c>
    </row>
    <row r="93" spans="2:28" x14ac:dyDescent="0.25">
      <c r="B93" s="6">
        <v>12</v>
      </c>
      <c r="C93" s="7">
        <v>45</v>
      </c>
      <c r="D93" s="7">
        <v>14.7</v>
      </c>
      <c r="E93" s="8">
        <v>3.38</v>
      </c>
      <c r="F93" s="1">
        <f t="shared" si="2"/>
        <v>4.3491124260355027</v>
      </c>
      <c r="G93" s="1">
        <f t="shared" si="3"/>
        <v>0.22993197278911565</v>
      </c>
      <c r="H93" s="1">
        <f>D93/$Q$6</f>
        <v>1.05</v>
      </c>
      <c r="I93" s="1">
        <f>G93/$Q$8</f>
        <v>0.9093354856066721</v>
      </c>
      <c r="J93" s="1">
        <f t="shared" si="7"/>
        <v>12</v>
      </c>
      <c r="K93" s="1">
        <f t="shared" si="4"/>
        <v>144</v>
      </c>
      <c r="L93" s="1">
        <f t="shared" si="8"/>
        <v>45</v>
      </c>
      <c r="M93" s="1">
        <f t="shared" si="5"/>
        <v>2025</v>
      </c>
      <c r="N93" s="1">
        <f t="shared" si="6"/>
        <v>540</v>
      </c>
    </row>
    <row r="94" spans="2:28" x14ac:dyDescent="0.25">
      <c r="B94" s="6">
        <v>12</v>
      </c>
      <c r="C94" s="7">
        <v>50</v>
      </c>
      <c r="D94" s="7">
        <v>14.76</v>
      </c>
      <c r="E94" s="8">
        <v>3.82</v>
      </c>
      <c r="F94" s="1">
        <f t="shared" si="2"/>
        <v>3.8638743455497382</v>
      </c>
      <c r="G94" s="1">
        <f t="shared" si="3"/>
        <v>0.25880758807588078</v>
      </c>
      <c r="H94" s="1">
        <f>D94/$Q$6</f>
        <v>1.0542857142857143</v>
      </c>
      <c r="I94" s="1">
        <f>G94/$Q$8</f>
        <v>1.0235328341983987</v>
      </c>
      <c r="J94" s="1">
        <f t="shared" si="7"/>
        <v>12</v>
      </c>
      <c r="K94" s="1">
        <f t="shared" si="4"/>
        <v>144</v>
      </c>
      <c r="L94" s="1">
        <f t="shared" si="8"/>
        <v>50</v>
      </c>
      <c r="M94" s="1">
        <f t="shared" si="5"/>
        <v>2500</v>
      </c>
      <c r="N94" s="1">
        <f t="shared" si="6"/>
        <v>600</v>
      </c>
    </row>
    <row r="95" spans="2:28" x14ac:dyDescent="0.25">
      <c r="B95" s="6">
        <v>12</v>
      </c>
      <c r="C95" s="7">
        <v>55</v>
      </c>
      <c r="D95" s="7">
        <v>14.81</v>
      </c>
      <c r="E95" s="8">
        <v>4.21</v>
      </c>
      <c r="F95" s="1">
        <f t="shared" si="2"/>
        <v>3.5178147268408551</v>
      </c>
      <c r="G95" s="1">
        <f t="shared" si="3"/>
        <v>0.28426738690074277</v>
      </c>
      <c r="H95" s="1">
        <f>D95/$Q$6</f>
        <v>1.0578571428571428</v>
      </c>
      <c r="I95" s="1">
        <f>G95/$Q$8</f>
        <v>1.1242213041272313</v>
      </c>
      <c r="J95" s="1">
        <f t="shared" si="7"/>
        <v>12</v>
      </c>
      <c r="K95" s="1">
        <f t="shared" si="4"/>
        <v>144</v>
      </c>
      <c r="L95" s="1">
        <f t="shared" si="8"/>
        <v>55</v>
      </c>
      <c r="M95" s="1">
        <f t="shared" si="5"/>
        <v>3025</v>
      </c>
      <c r="N95" s="1">
        <f t="shared" si="6"/>
        <v>660</v>
      </c>
    </row>
    <row r="96" spans="2:28" x14ac:dyDescent="0.25">
      <c r="B96" s="6">
        <v>12</v>
      </c>
      <c r="C96" s="7">
        <v>60</v>
      </c>
      <c r="D96" s="7">
        <v>15.55</v>
      </c>
      <c r="E96" s="8">
        <v>4.83</v>
      </c>
      <c r="F96" s="1">
        <f t="shared" si="2"/>
        <v>3.2194616977225672</v>
      </c>
      <c r="G96" s="1">
        <f t="shared" si="3"/>
        <v>0.31061093247588423</v>
      </c>
      <c r="H96" s="1">
        <f>D96/$Q$6</f>
        <v>1.1107142857142858</v>
      </c>
      <c r="I96" s="1">
        <f>G96/$Q$8</f>
        <v>1.2284048177012372</v>
      </c>
      <c r="J96" s="1">
        <f t="shared" si="7"/>
        <v>12</v>
      </c>
      <c r="K96" s="1">
        <f t="shared" si="4"/>
        <v>144</v>
      </c>
      <c r="L96" s="1">
        <f t="shared" si="8"/>
        <v>60</v>
      </c>
      <c r="M96" s="1">
        <f t="shared" si="5"/>
        <v>3600</v>
      </c>
      <c r="N96" s="1">
        <f t="shared" si="6"/>
        <v>720</v>
      </c>
    </row>
    <row r="97" spans="2:14" x14ac:dyDescent="0.25">
      <c r="B97" s="6">
        <v>12</v>
      </c>
      <c r="C97" s="7">
        <v>65</v>
      </c>
      <c r="D97" s="7">
        <v>16.38</v>
      </c>
      <c r="E97" s="8">
        <v>5.77</v>
      </c>
      <c r="F97" s="1">
        <f t="shared" si="2"/>
        <v>2.8388214904679376</v>
      </c>
      <c r="G97" s="1">
        <f t="shared" si="3"/>
        <v>0.35225885225885223</v>
      </c>
      <c r="H97" s="1">
        <f>D97/$Q$6</f>
        <v>1.17</v>
      </c>
      <c r="I97" s="1">
        <f>G97/$Q$8</f>
        <v>1.3931141049785118</v>
      </c>
      <c r="J97" s="1">
        <f t="shared" si="7"/>
        <v>12</v>
      </c>
      <c r="K97" s="1">
        <f t="shared" si="4"/>
        <v>144</v>
      </c>
      <c r="L97" s="1">
        <f t="shared" si="8"/>
        <v>65</v>
      </c>
      <c r="M97" s="1">
        <f t="shared" si="5"/>
        <v>4225</v>
      </c>
      <c r="N97" s="1">
        <f t="shared" si="6"/>
        <v>780</v>
      </c>
    </row>
    <row r="98" spans="2:14" x14ac:dyDescent="0.25">
      <c r="B98" s="6">
        <v>12</v>
      </c>
      <c r="C98" s="7">
        <v>70</v>
      </c>
      <c r="D98" s="7">
        <v>16.95</v>
      </c>
      <c r="E98" s="8">
        <v>6.61</v>
      </c>
      <c r="F98" s="1">
        <f t="shared" si="2"/>
        <v>2.5642965204236003</v>
      </c>
      <c r="G98" s="1">
        <f t="shared" si="3"/>
        <v>0.38997050147492629</v>
      </c>
      <c r="H98" s="1">
        <f>D98/$Q$6</f>
        <v>1.2107142857142856</v>
      </c>
      <c r="I98" s="1">
        <f>G98/$Q$8</f>
        <v>1.5422562205223076</v>
      </c>
      <c r="J98" s="1">
        <f t="shared" si="7"/>
        <v>12</v>
      </c>
      <c r="K98" s="1">
        <f t="shared" si="4"/>
        <v>144</v>
      </c>
      <c r="L98" s="1">
        <f t="shared" si="8"/>
        <v>70</v>
      </c>
      <c r="M98" s="1">
        <f t="shared" si="5"/>
        <v>4900</v>
      </c>
      <c r="N98" s="1">
        <f t="shared" si="6"/>
        <v>840</v>
      </c>
    </row>
    <row r="99" spans="2:14" x14ac:dyDescent="0.25">
      <c r="B99" s="6">
        <v>15</v>
      </c>
      <c r="C99" s="7">
        <v>25</v>
      </c>
      <c r="D99" s="7">
        <v>14.78</v>
      </c>
      <c r="E99" s="8">
        <v>1.76</v>
      </c>
      <c r="F99" s="1">
        <f t="shared" si="2"/>
        <v>8.3977272727272716</v>
      </c>
      <c r="G99" s="1">
        <f t="shared" si="3"/>
        <v>0.11907983761840327</v>
      </c>
      <c r="H99" s="1">
        <f>D99/$Q$6</f>
        <v>1.0557142857142856</v>
      </c>
      <c r="I99" s="1">
        <f>G99/$Q$8</f>
        <v>0.47093721092023894</v>
      </c>
      <c r="J99" s="1">
        <f t="shared" si="7"/>
        <v>15</v>
      </c>
      <c r="K99" s="1">
        <f t="shared" si="4"/>
        <v>225</v>
      </c>
      <c r="L99" s="1">
        <f t="shared" si="8"/>
        <v>25</v>
      </c>
      <c r="M99" s="1">
        <f t="shared" si="5"/>
        <v>625</v>
      </c>
      <c r="N99" s="1">
        <f t="shared" si="6"/>
        <v>375</v>
      </c>
    </row>
    <row r="100" spans="2:14" x14ac:dyDescent="0.25">
      <c r="B100" s="6">
        <v>15</v>
      </c>
      <c r="C100" s="7">
        <v>30</v>
      </c>
      <c r="D100" s="7">
        <v>14.86</v>
      </c>
      <c r="E100" s="8">
        <v>2.0299999999999998</v>
      </c>
      <c r="F100" s="1">
        <f t="shared" si="2"/>
        <v>7.320197044334976</v>
      </c>
      <c r="G100" s="1">
        <f t="shared" si="3"/>
        <v>0.13660834454912515</v>
      </c>
      <c r="H100" s="1">
        <f>D100/$Q$6</f>
        <v>1.0614285714285714</v>
      </c>
      <c r="I100" s="1">
        <f>G100/$Q$8</f>
        <v>0.54025898974230291</v>
      </c>
      <c r="J100" s="1">
        <f t="shared" si="7"/>
        <v>15</v>
      </c>
      <c r="K100" s="1">
        <f t="shared" si="4"/>
        <v>225</v>
      </c>
      <c r="L100" s="1">
        <f t="shared" si="8"/>
        <v>30</v>
      </c>
      <c r="M100" s="1">
        <f t="shared" si="5"/>
        <v>900</v>
      </c>
      <c r="N100" s="1">
        <f t="shared" si="6"/>
        <v>450</v>
      </c>
    </row>
    <row r="101" spans="2:14" x14ac:dyDescent="0.25">
      <c r="B101" s="6">
        <v>15</v>
      </c>
      <c r="C101" s="7">
        <v>35</v>
      </c>
      <c r="D101" s="7">
        <v>14.95</v>
      </c>
      <c r="E101" s="8">
        <v>2.39</v>
      </c>
      <c r="F101" s="1">
        <f t="shared" si="2"/>
        <v>6.2552301255230116</v>
      </c>
      <c r="G101" s="1">
        <f t="shared" si="3"/>
        <v>0.15986622073578599</v>
      </c>
      <c r="H101" s="1">
        <f>D101/$Q$6</f>
        <v>1.0678571428571428</v>
      </c>
      <c r="I101" s="1">
        <f>G101/$Q$8</f>
        <v>0.63223929104548138</v>
      </c>
      <c r="J101" s="1">
        <f t="shared" si="7"/>
        <v>15</v>
      </c>
      <c r="K101" s="1">
        <f t="shared" si="4"/>
        <v>225</v>
      </c>
      <c r="L101" s="1">
        <f t="shared" si="8"/>
        <v>35</v>
      </c>
      <c r="M101" s="1">
        <f t="shared" si="5"/>
        <v>1225</v>
      </c>
      <c r="N101" s="1">
        <f t="shared" si="6"/>
        <v>525</v>
      </c>
    </row>
    <row r="102" spans="2:14" x14ac:dyDescent="0.25">
      <c r="B102" s="6">
        <v>15</v>
      </c>
      <c r="C102" s="7">
        <v>40</v>
      </c>
      <c r="D102" s="7">
        <v>15.04</v>
      </c>
      <c r="E102" s="8">
        <v>2.75</v>
      </c>
      <c r="F102" s="1">
        <f t="shared" si="2"/>
        <v>5.4690909090909088</v>
      </c>
      <c r="G102" s="1">
        <f t="shared" si="3"/>
        <v>0.18284574468085107</v>
      </c>
      <c r="H102" s="1">
        <f>D102/$Q$6</f>
        <v>1.0742857142857143</v>
      </c>
      <c r="I102" s="1">
        <f>G102/$Q$8</f>
        <v>0.72311876427455235</v>
      </c>
      <c r="J102" s="1">
        <f t="shared" si="7"/>
        <v>15</v>
      </c>
      <c r="K102" s="1">
        <f t="shared" si="4"/>
        <v>225</v>
      </c>
      <c r="L102" s="1">
        <f t="shared" si="8"/>
        <v>40</v>
      </c>
      <c r="M102" s="1">
        <f t="shared" si="5"/>
        <v>1600</v>
      </c>
      <c r="N102" s="1">
        <f t="shared" si="6"/>
        <v>600</v>
      </c>
    </row>
    <row r="103" spans="2:14" x14ac:dyDescent="0.25">
      <c r="B103" s="6">
        <v>15</v>
      </c>
      <c r="C103" s="7">
        <v>45</v>
      </c>
      <c r="D103" s="7">
        <v>15.12</v>
      </c>
      <c r="E103" s="8">
        <v>3.23</v>
      </c>
      <c r="F103" s="1">
        <f t="shared" si="2"/>
        <v>4.6811145510835912</v>
      </c>
      <c r="G103" s="1">
        <f t="shared" si="3"/>
        <v>0.21362433862433863</v>
      </c>
      <c r="H103" s="1">
        <f>D103/$Q$6</f>
        <v>1.0799999999999998</v>
      </c>
      <c r="I103" s="1">
        <f>G103/$Q$8</f>
        <v>0.84484201715840146</v>
      </c>
      <c r="J103" s="1">
        <f t="shared" si="7"/>
        <v>15</v>
      </c>
      <c r="K103" s="1">
        <f t="shared" si="4"/>
        <v>225</v>
      </c>
      <c r="L103" s="1">
        <f t="shared" si="8"/>
        <v>45</v>
      </c>
      <c r="M103" s="1">
        <f t="shared" si="5"/>
        <v>2025</v>
      </c>
      <c r="N103" s="1">
        <f t="shared" si="6"/>
        <v>675</v>
      </c>
    </row>
    <row r="104" spans="2:14" x14ac:dyDescent="0.25">
      <c r="B104" s="6">
        <v>15</v>
      </c>
      <c r="C104" s="7">
        <v>50</v>
      </c>
      <c r="D104" s="7">
        <v>15.21</v>
      </c>
      <c r="E104" s="8">
        <v>3.67</v>
      </c>
      <c r="F104" s="1">
        <f t="shared" si="2"/>
        <v>4.1444141689373302</v>
      </c>
      <c r="G104" s="1">
        <f t="shared" si="3"/>
        <v>0.24128862590401048</v>
      </c>
      <c r="H104" s="1">
        <f>D104/$Q$6</f>
        <v>1.0864285714285715</v>
      </c>
      <c r="I104" s="1">
        <f>G104/$Q$8</f>
        <v>0.95424880301021109</v>
      </c>
      <c r="J104" s="1">
        <f t="shared" si="7"/>
        <v>15</v>
      </c>
      <c r="K104" s="1">
        <f t="shared" si="4"/>
        <v>225</v>
      </c>
      <c r="L104" s="1">
        <f t="shared" si="8"/>
        <v>50</v>
      </c>
      <c r="M104" s="1">
        <f t="shared" si="5"/>
        <v>2500</v>
      </c>
      <c r="N104" s="1">
        <f t="shared" si="6"/>
        <v>750</v>
      </c>
    </row>
    <row r="105" spans="2:14" x14ac:dyDescent="0.25">
      <c r="B105" s="6">
        <v>15</v>
      </c>
      <c r="C105" s="7">
        <v>55</v>
      </c>
      <c r="D105" s="7">
        <v>15.3</v>
      </c>
      <c r="E105" s="8">
        <v>4.07</v>
      </c>
      <c r="F105" s="1">
        <f t="shared" si="2"/>
        <v>3.7592137592137593</v>
      </c>
      <c r="G105" s="1">
        <f t="shared" si="3"/>
        <v>0.26601307189542484</v>
      </c>
      <c r="H105" s="1">
        <f>D105/$Q$6</f>
        <v>1.092857142857143</v>
      </c>
      <c r="I105" s="1">
        <f>G105/$Q$8</f>
        <v>1.0520290978915108</v>
      </c>
      <c r="J105" s="1">
        <f t="shared" si="7"/>
        <v>15</v>
      </c>
      <c r="K105" s="1">
        <f t="shared" si="4"/>
        <v>225</v>
      </c>
      <c r="L105" s="1">
        <f t="shared" si="8"/>
        <v>55</v>
      </c>
      <c r="M105" s="1">
        <f t="shared" si="5"/>
        <v>3025</v>
      </c>
      <c r="N105" s="1">
        <f t="shared" si="6"/>
        <v>825</v>
      </c>
    </row>
    <row r="106" spans="2:14" x14ac:dyDescent="0.25">
      <c r="B106" s="6">
        <v>15</v>
      </c>
      <c r="C106" s="7">
        <v>60</v>
      </c>
      <c r="D106" s="7">
        <v>16.010000000000002</v>
      </c>
      <c r="E106" s="8">
        <v>4.67</v>
      </c>
      <c r="F106" s="1">
        <f t="shared" si="2"/>
        <v>3.4282655246252682</v>
      </c>
      <c r="G106" s="1">
        <f t="shared" si="3"/>
        <v>0.29169269206745779</v>
      </c>
      <c r="H106" s="1">
        <f>D106/$Q$6</f>
        <v>1.1435714285714287</v>
      </c>
      <c r="I106" s="1">
        <f>G106/$Q$8</f>
        <v>1.1535869177809066</v>
      </c>
      <c r="J106" s="1">
        <f t="shared" si="7"/>
        <v>15</v>
      </c>
      <c r="K106" s="1">
        <f t="shared" si="4"/>
        <v>225</v>
      </c>
      <c r="L106" s="1">
        <f t="shared" si="8"/>
        <v>60</v>
      </c>
      <c r="M106" s="1">
        <f t="shared" si="5"/>
        <v>3600</v>
      </c>
      <c r="N106" s="1">
        <f t="shared" si="6"/>
        <v>900</v>
      </c>
    </row>
    <row r="107" spans="2:14" x14ac:dyDescent="0.25">
      <c r="B107" s="6">
        <v>15</v>
      </c>
      <c r="C107" s="7">
        <v>65</v>
      </c>
      <c r="D107" s="7">
        <v>16.79</v>
      </c>
      <c r="E107" s="8">
        <v>5.58</v>
      </c>
      <c r="F107" s="1">
        <f t="shared" si="2"/>
        <v>3.0089605734767022</v>
      </c>
      <c r="G107" s="1">
        <f t="shared" si="3"/>
        <v>0.33234067897558073</v>
      </c>
      <c r="H107" s="1">
        <f>D107/$Q$6</f>
        <v>1.1992857142857143</v>
      </c>
      <c r="I107" s="1">
        <f>G107/$Q$8</f>
        <v>1.3143416682650086</v>
      </c>
      <c r="J107" s="1">
        <f t="shared" si="7"/>
        <v>15</v>
      </c>
      <c r="K107" s="1">
        <f t="shared" si="4"/>
        <v>225</v>
      </c>
      <c r="L107" s="1">
        <f t="shared" si="8"/>
        <v>65</v>
      </c>
      <c r="M107" s="1">
        <f t="shared" si="5"/>
        <v>4225</v>
      </c>
      <c r="N107" s="1">
        <f t="shared" si="6"/>
        <v>975</v>
      </c>
    </row>
    <row r="108" spans="2:14" x14ac:dyDescent="0.25">
      <c r="B108" s="6">
        <v>15</v>
      </c>
      <c r="C108" s="7">
        <v>70</v>
      </c>
      <c r="D108" s="7">
        <v>17.34</v>
      </c>
      <c r="E108" s="8">
        <v>6.36</v>
      </c>
      <c r="F108" s="1">
        <f t="shared" si="2"/>
        <v>2.7264150943396226</v>
      </c>
      <c r="G108" s="1">
        <f t="shared" si="3"/>
        <v>0.36678200692041524</v>
      </c>
      <c r="H108" s="1">
        <f>D108/$Q$6</f>
        <v>1.2385714285714287</v>
      </c>
      <c r="I108" s="1">
        <f>G108/$Q$8</f>
        <v>1.4505503098547496</v>
      </c>
      <c r="J108" s="1">
        <f t="shared" si="7"/>
        <v>15</v>
      </c>
      <c r="K108" s="1">
        <f t="shared" si="4"/>
        <v>225</v>
      </c>
      <c r="L108" s="1">
        <f t="shared" si="8"/>
        <v>70</v>
      </c>
      <c r="M108" s="1">
        <f t="shared" si="5"/>
        <v>4900</v>
      </c>
      <c r="N108" s="1">
        <f t="shared" si="6"/>
        <v>1050</v>
      </c>
    </row>
    <row r="109" spans="2:14" x14ac:dyDescent="0.25">
      <c r="B109" s="6">
        <v>20</v>
      </c>
      <c r="C109" s="7">
        <v>25</v>
      </c>
      <c r="D109" s="7">
        <v>15.26</v>
      </c>
      <c r="E109" s="8">
        <v>1.59</v>
      </c>
      <c r="F109" s="1">
        <f t="shared" si="2"/>
        <v>9.5974842767295598</v>
      </c>
      <c r="G109" s="1">
        <f t="shared" si="3"/>
        <v>0.10419397116644823</v>
      </c>
      <c r="H109" s="1">
        <f>D109/$Q$6</f>
        <v>1.0900000000000001</v>
      </c>
      <c r="I109" s="1">
        <f>G109/$Q$8</f>
        <v>0.41206655263567099</v>
      </c>
      <c r="J109" s="1">
        <f t="shared" si="7"/>
        <v>20</v>
      </c>
      <c r="K109" s="1">
        <f t="shared" si="4"/>
        <v>400</v>
      </c>
      <c r="L109" s="1">
        <f t="shared" si="8"/>
        <v>25</v>
      </c>
      <c r="M109" s="1">
        <f t="shared" si="5"/>
        <v>625</v>
      </c>
      <c r="N109" s="1">
        <f t="shared" si="6"/>
        <v>500</v>
      </c>
    </row>
    <row r="110" spans="2:14" x14ac:dyDescent="0.25">
      <c r="B110" s="6">
        <v>20</v>
      </c>
      <c r="C110" s="7">
        <v>30</v>
      </c>
      <c r="D110" s="7">
        <v>15.4</v>
      </c>
      <c r="E110" s="8">
        <v>1.83</v>
      </c>
      <c r="F110" s="1">
        <f t="shared" si="2"/>
        <v>8.415300546448087</v>
      </c>
      <c r="G110" s="1">
        <f t="shared" si="3"/>
        <v>0.11883116883116884</v>
      </c>
      <c r="H110" s="1">
        <f>D110/$Q$6</f>
        <v>1.1000000000000001</v>
      </c>
      <c r="I110" s="1">
        <f>G110/$Q$8</f>
        <v>0.46995377503852087</v>
      </c>
      <c r="J110" s="1">
        <f t="shared" si="7"/>
        <v>20</v>
      </c>
      <c r="K110" s="1">
        <f t="shared" si="4"/>
        <v>400</v>
      </c>
      <c r="L110" s="1">
        <f t="shared" si="8"/>
        <v>30</v>
      </c>
      <c r="M110" s="1">
        <f t="shared" si="5"/>
        <v>900</v>
      </c>
      <c r="N110" s="1">
        <f t="shared" si="6"/>
        <v>600</v>
      </c>
    </row>
    <row r="111" spans="2:14" x14ac:dyDescent="0.25">
      <c r="B111" s="6">
        <v>20</v>
      </c>
      <c r="C111" s="7">
        <v>35</v>
      </c>
      <c r="D111" s="7">
        <v>15.55</v>
      </c>
      <c r="E111" s="8">
        <v>2.15</v>
      </c>
      <c r="F111" s="1">
        <f t="shared" si="2"/>
        <v>7.2325581395348841</v>
      </c>
      <c r="G111" s="1">
        <f t="shared" si="3"/>
        <v>0.13826366559485528</v>
      </c>
      <c r="H111" s="1">
        <f>D111/$Q$6</f>
        <v>1.1107142857142858</v>
      </c>
      <c r="I111" s="1">
        <f>G111/$Q$8</f>
        <v>0.546805457154795</v>
      </c>
      <c r="J111" s="1">
        <f t="shared" si="7"/>
        <v>20</v>
      </c>
      <c r="K111" s="1">
        <f t="shared" si="4"/>
        <v>400</v>
      </c>
      <c r="L111" s="1">
        <f t="shared" si="8"/>
        <v>35</v>
      </c>
      <c r="M111" s="1">
        <f t="shared" si="5"/>
        <v>1225</v>
      </c>
      <c r="N111" s="1">
        <f t="shared" si="6"/>
        <v>700</v>
      </c>
    </row>
    <row r="112" spans="2:14" x14ac:dyDescent="0.25">
      <c r="B112" s="6">
        <v>20</v>
      </c>
      <c r="C112" s="7">
        <v>40</v>
      </c>
      <c r="D112" s="7">
        <v>15.69</v>
      </c>
      <c r="E112" s="8">
        <v>2.42</v>
      </c>
      <c r="F112" s="1">
        <f t="shared" si="2"/>
        <v>6.4834710743801649</v>
      </c>
      <c r="G112" s="1">
        <f t="shared" si="3"/>
        <v>0.15423836838750798</v>
      </c>
      <c r="H112" s="1">
        <f>D112/$Q$6</f>
        <v>1.1207142857142858</v>
      </c>
      <c r="I112" s="1">
        <f>G112/$Q$8</f>
        <v>0.60998224786020117</v>
      </c>
      <c r="J112" s="1">
        <f t="shared" si="7"/>
        <v>20</v>
      </c>
      <c r="K112" s="1">
        <f t="shared" si="4"/>
        <v>400</v>
      </c>
      <c r="L112" s="1">
        <f t="shared" si="8"/>
        <v>40</v>
      </c>
      <c r="M112" s="1">
        <f t="shared" si="5"/>
        <v>1600</v>
      </c>
      <c r="N112" s="1">
        <f t="shared" si="6"/>
        <v>800</v>
      </c>
    </row>
    <row r="113" spans="2:14" x14ac:dyDescent="0.25">
      <c r="B113" s="6">
        <v>20</v>
      </c>
      <c r="C113" s="7">
        <v>45</v>
      </c>
      <c r="D113" s="7">
        <v>15.83</v>
      </c>
      <c r="E113" s="8">
        <v>2.84</v>
      </c>
      <c r="F113" s="1">
        <f t="shared" si="2"/>
        <v>5.573943661971831</v>
      </c>
      <c r="G113" s="1">
        <f t="shared" si="3"/>
        <v>0.17940619077700568</v>
      </c>
      <c r="H113" s="1">
        <f>D113/$Q$6</f>
        <v>1.1307142857142858</v>
      </c>
      <c r="I113" s="1">
        <f>G113/$Q$8</f>
        <v>0.70951600872262133</v>
      </c>
      <c r="J113" s="1">
        <f t="shared" si="7"/>
        <v>20</v>
      </c>
      <c r="K113" s="1">
        <f t="shared" si="4"/>
        <v>400</v>
      </c>
      <c r="L113" s="1">
        <f t="shared" si="8"/>
        <v>45</v>
      </c>
      <c r="M113" s="1">
        <f t="shared" si="5"/>
        <v>2025</v>
      </c>
      <c r="N113" s="1">
        <f t="shared" si="6"/>
        <v>900</v>
      </c>
    </row>
    <row r="114" spans="2:14" x14ac:dyDescent="0.25">
      <c r="B114" s="6">
        <v>20</v>
      </c>
      <c r="C114" s="7">
        <v>50</v>
      </c>
      <c r="D114" s="7">
        <v>15.97</v>
      </c>
      <c r="E114" s="8">
        <v>3.34</v>
      </c>
      <c r="F114" s="1">
        <f t="shared" si="2"/>
        <v>4.7814371257485035</v>
      </c>
      <c r="G114" s="1">
        <f t="shared" si="3"/>
        <v>0.20914214151534125</v>
      </c>
      <c r="H114" s="1">
        <f>D114/$Q$6</f>
        <v>1.1407142857142858</v>
      </c>
      <c r="I114" s="1">
        <f>G114/$Q$8</f>
        <v>0.82711581390247957</v>
      </c>
      <c r="J114" s="1">
        <f t="shared" si="7"/>
        <v>20</v>
      </c>
      <c r="K114" s="1">
        <f t="shared" si="4"/>
        <v>400</v>
      </c>
      <c r="L114" s="1">
        <f t="shared" si="8"/>
        <v>50</v>
      </c>
      <c r="M114" s="1">
        <f t="shared" si="5"/>
        <v>2500</v>
      </c>
      <c r="N114" s="1">
        <f t="shared" si="6"/>
        <v>1000</v>
      </c>
    </row>
    <row r="115" spans="2:14" x14ac:dyDescent="0.25">
      <c r="B115" s="6">
        <v>20</v>
      </c>
      <c r="C115" s="7">
        <v>55</v>
      </c>
      <c r="D115" s="7">
        <v>16.11</v>
      </c>
      <c r="E115" s="8">
        <v>3.81</v>
      </c>
      <c r="F115" s="1">
        <f t="shared" si="2"/>
        <v>4.228346456692913</v>
      </c>
      <c r="G115" s="1">
        <f t="shared" si="3"/>
        <v>0.23649906890130357</v>
      </c>
      <c r="H115" s="1">
        <f>D115/$Q$6</f>
        <v>1.1507142857142856</v>
      </c>
      <c r="I115" s="1">
        <f>G115/$Q$8</f>
        <v>0.93530705215204812</v>
      </c>
      <c r="J115" s="1">
        <f t="shared" si="7"/>
        <v>20</v>
      </c>
      <c r="K115" s="1">
        <f t="shared" si="4"/>
        <v>400</v>
      </c>
      <c r="L115" s="1">
        <f t="shared" si="8"/>
        <v>55</v>
      </c>
      <c r="M115" s="1">
        <f t="shared" si="5"/>
        <v>3025</v>
      </c>
      <c r="N115" s="1">
        <f t="shared" si="6"/>
        <v>1100</v>
      </c>
    </row>
    <row r="116" spans="2:14" x14ac:dyDescent="0.25">
      <c r="B116" s="6">
        <v>20</v>
      </c>
      <c r="C116" s="7">
        <v>60</v>
      </c>
      <c r="D116" s="7">
        <v>16.760000000000002</v>
      </c>
      <c r="E116" s="8">
        <v>4.38</v>
      </c>
      <c r="F116" s="1">
        <f t="shared" si="2"/>
        <v>3.8264840182648405</v>
      </c>
      <c r="G116" s="1">
        <f t="shared" si="3"/>
        <v>0.26133651551312648</v>
      </c>
      <c r="H116" s="1">
        <f>D116/$Q$6</f>
        <v>1.1971428571428573</v>
      </c>
      <c r="I116" s="1">
        <f>G116/$Q$8</f>
        <v>1.0335342421423082</v>
      </c>
      <c r="J116" s="1">
        <f t="shared" si="7"/>
        <v>20</v>
      </c>
      <c r="K116" s="1">
        <f t="shared" si="4"/>
        <v>400</v>
      </c>
      <c r="L116" s="1">
        <f t="shared" si="8"/>
        <v>60</v>
      </c>
      <c r="M116" s="1">
        <f t="shared" si="5"/>
        <v>3600</v>
      </c>
      <c r="N116" s="1">
        <f t="shared" si="6"/>
        <v>1200</v>
      </c>
    </row>
    <row r="117" spans="2:14" x14ac:dyDescent="0.25">
      <c r="B117" s="6">
        <v>20</v>
      </c>
      <c r="C117" s="7">
        <v>65</v>
      </c>
      <c r="D117" s="7">
        <v>17.48</v>
      </c>
      <c r="E117" s="8">
        <v>5.24</v>
      </c>
      <c r="F117" s="1">
        <f t="shared" si="2"/>
        <v>3.33587786259542</v>
      </c>
      <c r="G117" s="1">
        <f t="shared" si="3"/>
        <v>0.2997711670480549</v>
      </c>
      <c r="H117" s="1">
        <f>D117/$Q$6</f>
        <v>1.2485714285714287</v>
      </c>
      <c r="I117" s="1">
        <f>G117/$Q$8</f>
        <v>1.1855356888906128</v>
      </c>
      <c r="J117" s="1">
        <f t="shared" si="7"/>
        <v>20</v>
      </c>
      <c r="K117" s="1">
        <f t="shared" si="4"/>
        <v>400</v>
      </c>
      <c r="L117" s="1">
        <f t="shared" si="8"/>
        <v>65</v>
      </c>
      <c r="M117" s="1">
        <f t="shared" si="5"/>
        <v>4225</v>
      </c>
      <c r="N117" s="1">
        <f t="shared" si="6"/>
        <v>1300</v>
      </c>
    </row>
    <row r="118" spans="2:14" x14ac:dyDescent="0.25">
      <c r="B118" s="6">
        <v>20</v>
      </c>
      <c r="C118" s="7">
        <v>70</v>
      </c>
      <c r="D118" s="7">
        <v>18</v>
      </c>
      <c r="E118" s="8">
        <v>6.27</v>
      </c>
      <c r="F118" s="1">
        <f t="shared" si="2"/>
        <v>2.8708133971291869</v>
      </c>
      <c r="G118" s="1">
        <f t="shared" si="3"/>
        <v>0.34833333333333327</v>
      </c>
      <c r="H118" s="1">
        <f>D118/$Q$6</f>
        <v>1.2857142857142858</v>
      </c>
      <c r="I118" s="1">
        <f>G118/$Q$8</f>
        <v>1.3775894538606401</v>
      </c>
      <c r="J118" s="1">
        <f t="shared" si="7"/>
        <v>20</v>
      </c>
      <c r="K118" s="1">
        <f t="shared" si="4"/>
        <v>400</v>
      </c>
      <c r="L118" s="1">
        <f t="shared" si="8"/>
        <v>70</v>
      </c>
      <c r="M118" s="1">
        <f t="shared" si="5"/>
        <v>4900</v>
      </c>
      <c r="N118" s="1">
        <f t="shared" si="6"/>
        <v>1400</v>
      </c>
    </row>
    <row r="119" spans="2:14" x14ac:dyDescent="0.25">
      <c r="B119" s="6">
        <v>25</v>
      </c>
      <c r="C119" s="7">
        <v>25</v>
      </c>
      <c r="D119" s="7">
        <v>15.75</v>
      </c>
      <c r="E119" s="8">
        <v>1.5</v>
      </c>
      <c r="F119" s="1">
        <f t="shared" si="2"/>
        <v>10.5</v>
      </c>
      <c r="G119" s="1">
        <f t="shared" si="3"/>
        <v>9.5238095238095233E-2</v>
      </c>
      <c r="H119" s="1">
        <f>D119/$Q$6</f>
        <v>1.125</v>
      </c>
      <c r="I119" s="1">
        <f>G119/$Q$8</f>
        <v>0.37664783427495291</v>
      </c>
      <c r="J119" s="1">
        <f t="shared" si="7"/>
        <v>25</v>
      </c>
      <c r="K119" s="1">
        <f t="shared" si="4"/>
        <v>625</v>
      </c>
      <c r="L119" s="1">
        <f t="shared" si="8"/>
        <v>25</v>
      </c>
      <c r="M119" s="1">
        <f t="shared" si="5"/>
        <v>625</v>
      </c>
      <c r="N119" s="1">
        <f t="shared" si="6"/>
        <v>625</v>
      </c>
    </row>
    <row r="120" spans="2:14" x14ac:dyDescent="0.25">
      <c r="B120" s="6">
        <v>25</v>
      </c>
      <c r="C120" s="7">
        <v>30</v>
      </c>
      <c r="D120" s="7">
        <v>15.95</v>
      </c>
      <c r="E120" s="8">
        <v>1.71</v>
      </c>
      <c r="F120" s="1">
        <f t="shared" si="2"/>
        <v>9.3274853801169595</v>
      </c>
      <c r="G120" s="1">
        <f t="shared" si="3"/>
        <v>0.10721003134796238</v>
      </c>
      <c r="H120" s="1">
        <f>D120/$Q$6</f>
        <v>1.1392857142857142</v>
      </c>
      <c r="I120" s="1">
        <f>G120/$Q$8</f>
        <v>0.42399447425747838</v>
      </c>
      <c r="J120" s="1">
        <f t="shared" si="7"/>
        <v>25</v>
      </c>
      <c r="K120" s="1">
        <f t="shared" si="4"/>
        <v>625</v>
      </c>
      <c r="L120" s="1">
        <f t="shared" si="8"/>
        <v>30</v>
      </c>
      <c r="M120" s="1">
        <f t="shared" si="5"/>
        <v>900</v>
      </c>
      <c r="N120" s="1">
        <f t="shared" si="6"/>
        <v>750</v>
      </c>
    </row>
    <row r="121" spans="2:14" x14ac:dyDescent="0.25">
      <c r="B121" s="6">
        <v>25</v>
      </c>
      <c r="C121" s="7">
        <v>35</v>
      </c>
      <c r="D121" s="7">
        <v>16.14</v>
      </c>
      <c r="E121" s="8">
        <v>1.99</v>
      </c>
      <c r="F121" s="1">
        <f t="shared" si="2"/>
        <v>8.1105527638190953</v>
      </c>
      <c r="G121" s="1">
        <f t="shared" si="3"/>
        <v>0.12329615861214374</v>
      </c>
      <c r="H121" s="1">
        <f>D121/$Q$6</f>
        <v>1.1528571428571428</v>
      </c>
      <c r="I121" s="1">
        <f>G121/$Q$8</f>
        <v>0.48761192671469278</v>
      </c>
      <c r="J121" s="1">
        <f t="shared" si="7"/>
        <v>25</v>
      </c>
      <c r="K121" s="1">
        <f t="shared" si="4"/>
        <v>625</v>
      </c>
      <c r="L121" s="1">
        <f t="shared" si="8"/>
        <v>35</v>
      </c>
      <c r="M121" s="1">
        <f t="shared" si="5"/>
        <v>1225</v>
      </c>
      <c r="N121" s="1">
        <f t="shared" si="6"/>
        <v>875</v>
      </c>
    </row>
    <row r="122" spans="2:14" x14ac:dyDescent="0.25">
      <c r="B122" s="6">
        <v>25</v>
      </c>
      <c r="C122" s="7">
        <v>40</v>
      </c>
      <c r="D122" s="7">
        <v>16.34</v>
      </c>
      <c r="E122" s="8">
        <v>2.29</v>
      </c>
      <c r="F122" s="1">
        <f t="shared" si="2"/>
        <v>7.1353711790393008</v>
      </c>
      <c r="G122" s="1">
        <f t="shared" si="3"/>
        <v>0.1401468788249694</v>
      </c>
      <c r="H122" s="1">
        <f>D122/$Q$6</f>
        <v>1.167142857142857</v>
      </c>
      <c r="I122" s="1">
        <f>G122/$Q$8</f>
        <v>0.55425319309309939</v>
      </c>
      <c r="J122" s="1">
        <f t="shared" si="7"/>
        <v>25</v>
      </c>
      <c r="K122" s="1">
        <f t="shared" si="4"/>
        <v>625</v>
      </c>
      <c r="L122" s="1">
        <f t="shared" si="8"/>
        <v>40</v>
      </c>
      <c r="M122" s="1">
        <f t="shared" si="5"/>
        <v>1600</v>
      </c>
      <c r="N122" s="1">
        <f t="shared" si="6"/>
        <v>1000</v>
      </c>
    </row>
    <row r="123" spans="2:14" x14ac:dyDescent="0.25">
      <c r="B123" s="6">
        <v>25</v>
      </c>
      <c r="C123" s="7">
        <v>45</v>
      </c>
      <c r="D123" s="7">
        <v>16.53</v>
      </c>
      <c r="E123" s="8">
        <v>2.67</v>
      </c>
      <c r="F123" s="1">
        <f t="shared" si="2"/>
        <v>6.1910112359550569</v>
      </c>
      <c r="G123" s="1">
        <f t="shared" si="3"/>
        <v>0.161524500907441</v>
      </c>
      <c r="H123" s="1">
        <f>D123/$Q$6</f>
        <v>1.1807142857142858</v>
      </c>
      <c r="I123" s="1">
        <f>G123/$Q$8</f>
        <v>0.63879746121586845</v>
      </c>
      <c r="J123" s="1">
        <f t="shared" si="7"/>
        <v>25</v>
      </c>
      <c r="K123" s="1">
        <f t="shared" si="4"/>
        <v>625</v>
      </c>
      <c r="L123" s="1">
        <f t="shared" si="8"/>
        <v>45</v>
      </c>
      <c r="M123" s="1">
        <f t="shared" si="5"/>
        <v>2025</v>
      </c>
      <c r="N123" s="1">
        <f t="shared" si="6"/>
        <v>1125</v>
      </c>
    </row>
    <row r="124" spans="2:14" x14ac:dyDescent="0.25">
      <c r="B124" s="6">
        <v>25</v>
      </c>
      <c r="C124" s="7">
        <v>50</v>
      </c>
      <c r="D124" s="7">
        <v>16.73</v>
      </c>
      <c r="E124" s="8">
        <v>3.15</v>
      </c>
      <c r="F124" s="1">
        <f t="shared" si="2"/>
        <v>5.3111111111111118</v>
      </c>
      <c r="G124" s="1">
        <f t="shared" si="3"/>
        <v>0.18828451882845185</v>
      </c>
      <c r="H124" s="1">
        <f>D124/$Q$6</f>
        <v>1.1950000000000001</v>
      </c>
      <c r="I124" s="1">
        <f>G124/$Q$8</f>
        <v>0.74462804056449894</v>
      </c>
      <c r="J124" s="1">
        <f t="shared" si="7"/>
        <v>25</v>
      </c>
      <c r="K124" s="1">
        <f t="shared" si="4"/>
        <v>625</v>
      </c>
      <c r="L124" s="1">
        <f t="shared" si="8"/>
        <v>50</v>
      </c>
      <c r="M124" s="1">
        <f t="shared" si="5"/>
        <v>2500</v>
      </c>
      <c r="N124" s="1">
        <f t="shared" si="6"/>
        <v>1250</v>
      </c>
    </row>
    <row r="125" spans="2:14" x14ac:dyDescent="0.25">
      <c r="B125" s="6">
        <v>25</v>
      </c>
      <c r="C125" s="7">
        <v>55</v>
      </c>
      <c r="D125" s="7">
        <v>16.920000000000002</v>
      </c>
      <c r="E125" s="8">
        <v>3.61</v>
      </c>
      <c r="F125" s="1">
        <f t="shared" si="2"/>
        <v>4.6869806094182831</v>
      </c>
      <c r="G125" s="1">
        <f t="shared" si="3"/>
        <v>0.21335697399527184</v>
      </c>
      <c r="H125" s="1">
        <f>D125/$Q$6</f>
        <v>1.2085714285714286</v>
      </c>
      <c r="I125" s="1">
        <f>G125/$Q$8</f>
        <v>0.84378464291915423</v>
      </c>
      <c r="J125" s="1">
        <f t="shared" si="7"/>
        <v>25</v>
      </c>
      <c r="K125" s="1">
        <f t="shared" si="4"/>
        <v>625</v>
      </c>
      <c r="L125" s="1">
        <f t="shared" si="8"/>
        <v>55</v>
      </c>
      <c r="M125" s="1">
        <f t="shared" si="5"/>
        <v>3025</v>
      </c>
      <c r="N125" s="1">
        <f t="shared" si="6"/>
        <v>1375</v>
      </c>
    </row>
    <row r="126" spans="2:14" x14ac:dyDescent="0.25">
      <c r="B126" s="6">
        <v>25</v>
      </c>
      <c r="C126" s="7">
        <v>60</v>
      </c>
      <c r="D126" s="7">
        <v>17.52</v>
      </c>
      <c r="E126" s="8">
        <v>4.1399999999999997</v>
      </c>
      <c r="F126" s="1">
        <f t="shared" si="2"/>
        <v>4.2318840579710146</v>
      </c>
      <c r="G126" s="1">
        <f t="shared" si="3"/>
        <v>0.2363013698630137</v>
      </c>
      <c r="H126" s="1">
        <f>D126/$Q$6</f>
        <v>1.2514285714285713</v>
      </c>
      <c r="I126" s="1">
        <f>G126/$Q$8</f>
        <v>0.93452519154864178</v>
      </c>
      <c r="J126" s="1">
        <f t="shared" si="7"/>
        <v>25</v>
      </c>
      <c r="K126" s="1">
        <f t="shared" si="4"/>
        <v>625</v>
      </c>
      <c r="L126" s="1">
        <f t="shared" si="8"/>
        <v>60</v>
      </c>
      <c r="M126" s="1">
        <f t="shared" si="5"/>
        <v>3600</v>
      </c>
      <c r="N126" s="1">
        <f t="shared" si="6"/>
        <v>1500</v>
      </c>
    </row>
    <row r="127" spans="2:14" x14ac:dyDescent="0.25">
      <c r="B127" s="6">
        <v>25</v>
      </c>
      <c r="C127" s="7">
        <v>65</v>
      </c>
      <c r="D127" s="7">
        <v>18.16</v>
      </c>
      <c r="E127" s="8">
        <v>4.97</v>
      </c>
      <c r="F127" s="1">
        <f t="shared" si="2"/>
        <v>3.6539235412474853</v>
      </c>
      <c r="G127" s="1">
        <f t="shared" si="3"/>
        <v>0.27367841409691629</v>
      </c>
      <c r="H127" s="1">
        <f>D127/$Q$6</f>
        <v>1.2971428571428572</v>
      </c>
      <c r="I127" s="1">
        <f>G127/$Q$8</f>
        <v>1.0823440105527764</v>
      </c>
      <c r="J127" s="1">
        <f t="shared" si="7"/>
        <v>25</v>
      </c>
      <c r="K127" s="1">
        <f t="shared" si="4"/>
        <v>625</v>
      </c>
      <c r="L127" s="1">
        <f t="shared" si="8"/>
        <v>65</v>
      </c>
      <c r="M127" s="1">
        <f t="shared" si="5"/>
        <v>4225</v>
      </c>
      <c r="N127" s="1">
        <f t="shared" si="6"/>
        <v>1625</v>
      </c>
    </row>
    <row r="128" spans="2:14" x14ac:dyDescent="0.25">
      <c r="B128" s="6">
        <v>25</v>
      </c>
      <c r="C128" s="7">
        <v>70</v>
      </c>
      <c r="D128" s="7">
        <v>18.649999999999999</v>
      </c>
      <c r="E128" s="8">
        <v>6.19</v>
      </c>
      <c r="F128" s="1">
        <f t="shared" si="2"/>
        <v>3.0129240710823906</v>
      </c>
      <c r="G128" s="1">
        <f t="shared" si="3"/>
        <v>0.33190348525469171</v>
      </c>
      <c r="H128" s="1">
        <f>D128/$Q$6</f>
        <v>1.3321428571428571</v>
      </c>
      <c r="I128" s="1">
        <f>G128/$Q$8</f>
        <v>1.3126126535496283</v>
      </c>
      <c r="J128" s="1">
        <f t="shared" si="7"/>
        <v>25</v>
      </c>
      <c r="K128" s="1">
        <f t="shared" si="4"/>
        <v>625</v>
      </c>
      <c r="L128" s="1">
        <f t="shared" si="8"/>
        <v>70</v>
      </c>
      <c r="M128" s="1">
        <f t="shared" si="5"/>
        <v>4900</v>
      </c>
      <c r="N128" s="1">
        <f t="shared" si="6"/>
        <v>1750</v>
      </c>
    </row>
    <row r="129" spans="2:14" x14ac:dyDescent="0.25">
      <c r="B129" s="6">
        <v>30</v>
      </c>
      <c r="C129" s="7">
        <v>25</v>
      </c>
      <c r="D129" s="7">
        <v>16.239999999999998</v>
      </c>
      <c r="E129" s="8">
        <v>1.49</v>
      </c>
      <c r="F129" s="1">
        <f t="shared" si="2"/>
        <v>10.899328859060402</v>
      </c>
      <c r="G129" s="1">
        <f t="shared" si="3"/>
        <v>9.1748768472906403E-2</v>
      </c>
      <c r="H129" s="1">
        <f>D129/$Q$6</f>
        <v>1.1599999999999999</v>
      </c>
      <c r="I129" s="1">
        <f>G129/$Q$8</f>
        <v>0.36284823689849993</v>
      </c>
      <c r="J129" s="1">
        <f t="shared" si="7"/>
        <v>30</v>
      </c>
      <c r="K129" s="1">
        <f t="shared" si="4"/>
        <v>900</v>
      </c>
      <c r="L129" s="1">
        <f t="shared" si="8"/>
        <v>25</v>
      </c>
      <c r="M129" s="1">
        <f t="shared" si="5"/>
        <v>625</v>
      </c>
      <c r="N129" s="1">
        <f t="shared" si="6"/>
        <v>750</v>
      </c>
    </row>
    <row r="130" spans="2:14" x14ac:dyDescent="0.25">
      <c r="B130" s="6">
        <v>30</v>
      </c>
      <c r="C130" s="7">
        <v>30</v>
      </c>
      <c r="D130" s="7">
        <v>16.489999999999998</v>
      </c>
      <c r="E130" s="8">
        <v>1.7</v>
      </c>
      <c r="F130" s="1">
        <f t="shared" si="2"/>
        <v>9.6999999999999993</v>
      </c>
      <c r="G130" s="1">
        <f t="shared" si="3"/>
        <v>0.10309278350515465</v>
      </c>
      <c r="H130" s="1">
        <f>D130/$Q$6</f>
        <v>1.1778571428571427</v>
      </c>
      <c r="I130" s="1">
        <f>G130/$Q$8</f>
        <v>0.40771157318422746</v>
      </c>
      <c r="J130" s="1">
        <f t="shared" ref="J130:J158" si="9">B130</f>
        <v>30</v>
      </c>
      <c r="K130" s="1">
        <f t="shared" si="4"/>
        <v>900</v>
      </c>
      <c r="L130" s="1">
        <f t="shared" ref="L130:L158" si="10">C130</f>
        <v>30</v>
      </c>
      <c r="M130" s="1">
        <f t="shared" si="5"/>
        <v>900</v>
      </c>
      <c r="N130" s="1">
        <f t="shared" si="6"/>
        <v>900</v>
      </c>
    </row>
    <row r="131" spans="2:14" x14ac:dyDescent="0.25">
      <c r="B131" s="6">
        <v>30</v>
      </c>
      <c r="C131" s="7">
        <v>35</v>
      </c>
      <c r="D131" s="7">
        <v>16.73</v>
      </c>
      <c r="E131" s="8">
        <v>1.98</v>
      </c>
      <c r="F131" s="1">
        <f t="shared" si="2"/>
        <v>8.4494949494949498</v>
      </c>
      <c r="G131" s="1">
        <f t="shared" si="3"/>
        <v>0.11835026897788403</v>
      </c>
      <c r="H131" s="1">
        <f>D131/$Q$6</f>
        <v>1.1950000000000001</v>
      </c>
      <c r="I131" s="1">
        <f>G131/$Q$8</f>
        <v>0.46805191121197076</v>
      </c>
      <c r="J131" s="1">
        <f t="shared" si="9"/>
        <v>30</v>
      </c>
      <c r="K131" s="1">
        <f t="shared" si="4"/>
        <v>900</v>
      </c>
      <c r="L131" s="1">
        <f t="shared" si="10"/>
        <v>35</v>
      </c>
      <c r="M131" s="1">
        <f t="shared" si="5"/>
        <v>1225</v>
      </c>
      <c r="N131" s="1">
        <f t="shared" si="6"/>
        <v>1050</v>
      </c>
    </row>
    <row r="132" spans="2:14" x14ac:dyDescent="0.25">
      <c r="B132" s="6">
        <v>30</v>
      </c>
      <c r="C132" s="7">
        <v>40</v>
      </c>
      <c r="D132" s="7">
        <v>16.98</v>
      </c>
      <c r="E132" s="8">
        <v>2.21</v>
      </c>
      <c r="F132" s="1">
        <f t="shared" si="2"/>
        <v>7.6832579185520364</v>
      </c>
      <c r="G132" s="1">
        <f t="shared" si="3"/>
        <v>0.13015312131919907</v>
      </c>
      <c r="H132" s="1">
        <f>D132/$Q$6</f>
        <v>1.2128571428571429</v>
      </c>
      <c r="I132" s="1">
        <f>G132/$Q$8</f>
        <v>0.51472985832451612</v>
      </c>
      <c r="J132" s="1">
        <f t="shared" si="9"/>
        <v>30</v>
      </c>
      <c r="K132" s="1">
        <f t="shared" si="4"/>
        <v>900</v>
      </c>
      <c r="L132" s="1">
        <f t="shared" si="10"/>
        <v>40</v>
      </c>
      <c r="M132" s="1">
        <f t="shared" si="5"/>
        <v>1600</v>
      </c>
      <c r="N132" s="1">
        <f t="shared" si="6"/>
        <v>1200</v>
      </c>
    </row>
    <row r="133" spans="2:14" x14ac:dyDescent="0.25">
      <c r="B133" s="6">
        <v>30</v>
      </c>
      <c r="C133" s="7">
        <v>45</v>
      </c>
      <c r="D133" s="7">
        <v>17.23</v>
      </c>
      <c r="E133" s="8">
        <v>2.4900000000000002</v>
      </c>
      <c r="F133" s="1">
        <f t="shared" si="2"/>
        <v>6.9196787148594376</v>
      </c>
      <c r="G133" s="1">
        <f t="shared" si="3"/>
        <v>0.1445153801508996</v>
      </c>
      <c r="H133" s="1">
        <f>D133/$Q$6</f>
        <v>1.2307142857142856</v>
      </c>
      <c r="I133" s="1">
        <f>G133/$Q$8</f>
        <v>0.57152975200920753</v>
      </c>
      <c r="J133" s="1">
        <f t="shared" si="9"/>
        <v>30</v>
      </c>
      <c r="K133" s="1">
        <f t="shared" si="4"/>
        <v>900</v>
      </c>
      <c r="L133" s="1">
        <f t="shared" si="10"/>
        <v>45</v>
      </c>
      <c r="M133" s="1">
        <f t="shared" si="5"/>
        <v>2025</v>
      </c>
      <c r="N133" s="1">
        <f t="shared" si="6"/>
        <v>1350</v>
      </c>
    </row>
    <row r="134" spans="2:14" x14ac:dyDescent="0.25">
      <c r="B134" s="6">
        <v>30</v>
      </c>
      <c r="C134" s="7">
        <v>50</v>
      </c>
      <c r="D134" s="7">
        <v>17.48</v>
      </c>
      <c r="E134" s="8">
        <v>2.94</v>
      </c>
      <c r="F134" s="1">
        <f t="shared" si="2"/>
        <v>5.9455782312925169</v>
      </c>
      <c r="G134" s="1">
        <f t="shared" si="3"/>
        <v>0.16819221967963388</v>
      </c>
      <c r="H134" s="1">
        <f>D134/$Q$6</f>
        <v>1.2485714285714287</v>
      </c>
      <c r="I134" s="1">
        <f>G134/$Q$8</f>
        <v>0.66516697048442786</v>
      </c>
      <c r="J134" s="1">
        <f t="shared" si="9"/>
        <v>30</v>
      </c>
      <c r="K134" s="1">
        <f t="shared" si="4"/>
        <v>900</v>
      </c>
      <c r="L134" s="1">
        <f t="shared" si="10"/>
        <v>50</v>
      </c>
      <c r="M134" s="1">
        <f t="shared" si="5"/>
        <v>2500</v>
      </c>
      <c r="N134" s="1">
        <f t="shared" si="6"/>
        <v>1500</v>
      </c>
    </row>
    <row r="135" spans="2:14" x14ac:dyDescent="0.25">
      <c r="B135" s="6">
        <v>30</v>
      </c>
      <c r="C135" s="7">
        <v>55</v>
      </c>
      <c r="D135" s="7">
        <v>17.73</v>
      </c>
      <c r="E135" s="8">
        <v>3.37</v>
      </c>
      <c r="F135" s="1">
        <f t="shared" si="2"/>
        <v>5.2611275964391693</v>
      </c>
      <c r="G135" s="1">
        <f t="shared" si="3"/>
        <v>0.19007332205301747</v>
      </c>
      <c r="H135" s="1">
        <f>D135/$Q$6</f>
        <v>1.2664285714285715</v>
      </c>
      <c r="I135" s="1">
        <f>G135/$Q$8</f>
        <v>0.75170240359950413</v>
      </c>
      <c r="J135" s="1">
        <f t="shared" si="9"/>
        <v>30</v>
      </c>
      <c r="K135" s="1">
        <f t="shared" si="4"/>
        <v>900</v>
      </c>
      <c r="L135" s="1">
        <f t="shared" si="10"/>
        <v>55</v>
      </c>
      <c r="M135" s="1">
        <f t="shared" si="5"/>
        <v>3025</v>
      </c>
      <c r="N135" s="1">
        <f t="shared" si="6"/>
        <v>1650</v>
      </c>
    </row>
    <row r="136" spans="2:14" x14ac:dyDescent="0.25">
      <c r="B136" s="6">
        <v>30</v>
      </c>
      <c r="C136" s="7">
        <v>60</v>
      </c>
      <c r="D136" s="7">
        <v>18.27</v>
      </c>
      <c r="E136" s="8">
        <v>3.87</v>
      </c>
      <c r="F136" s="1">
        <f t="shared" si="2"/>
        <v>4.720930232558139</v>
      </c>
      <c r="G136" s="1">
        <f t="shared" si="3"/>
        <v>0.21182266009852219</v>
      </c>
      <c r="H136" s="1">
        <f>D136/$Q$6</f>
        <v>1.3049999999999999</v>
      </c>
      <c r="I136" s="1">
        <f>G136/$Q$8</f>
        <v>0.83771673485291265</v>
      </c>
      <c r="J136" s="1">
        <f t="shared" si="9"/>
        <v>30</v>
      </c>
      <c r="K136" s="1">
        <f t="shared" si="4"/>
        <v>900</v>
      </c>
      <c r="L136" s="1">
        <f t="shared" si="10"/>
        <v>60</v>
      </c>
      <c r="M136" s="1">
        <f t="shared" si="5"/>
        <v>3600</v>
      </c>
      <c r="N136" s="1">
        <f t="shared" si="6"/>
        <v>1800</v>
      </c>
    </row>
    <row r="137" spans="2:14" x14ac:dyDescent="0.25">
      <c r="B137" s="6">
        <v>30</v>
      </c>
      <c r="C137" s="7">
        <v>65</v>
      </c>
      <c r="D137" s="7">
        <v>18.84</v>
      </c>
      <c r="E137" s="8">
        <v>4.66</v>
      </c>
      <c r="F137" s="1">
        <f t="shared" si="2"/>
        <v>4.0429184549356219</v>
      </c>
      <c r="G137" s="1">
        <f t="shared" si="3"/>
        <v>0.24734607218683655</v>
      </c>
      <c r="H137" s="1">
        <f>D137/$Q$6</f>
        <v>1.3457142857142856</v>
      </c>
      <c r="I137" s="1">
        <f>G137/$Q$8</f>
        <v>0.9782048052586757</v>
      </c>
      <c r="J137" s="1">
        <f t="shared" si="9"/>
        <v>30</v>
      </c>
      <c r="K137" s="1">
        <f t="shared" si="4"/>
        <v>900</v>
      </c>
      <c r="L137" s="1">
        <f t="shared" si="10"/>
        <v>65</v>
      </c>
      <c r="M137" s="1">
        <f t="shared" si="5"/>
        <v>4225</v>
      </c>
      <c r="N137" s="1">
        <f t="shared" si="6"/>
        <v>1950</v>
      </c>
    </row>
    <row r="138" spans="2:14" x14ac:dyDescent="0.25">
      <c r="B138" s="6">
        <v>30</v>
      </c>
      <c r="C138" s="7">
        <v>70</v>
      </c>
      <c r="D138" s="7">
        <v>19.3</v>
      </c>
      <c r="E138" s="8">
        <v>5.88</v>
      </c>
      <c r="F138" s="1">
        <f t="shared" si="2"/>
        <v>3.2823129251700682</v>
      </c>
      <c r="G138" s="1">
        <f t="shared" si="3"/>
        <v>0.30466321243523314</v>
      </c>
      <c r="H138" s="1">
        <f>D138/$Q$6</f>
        <v>1.3785714285714286</v>
      </c>
      <c r="I138" s="1">
        <f>G138/$Q$8</f>
        <v>1.2048827610432951</v>
      </c>
      <c r="J138" s="1">
        <f t="shared" si="9"/>
        <v>30</v>
      </c>
      <c r="K138" s="1">
        <f t="shared" si="4"/>
        <v>900</v>
      </c>
      <c r="L138" s="1">
        <f t="shared" si="10"/>
        <v>70</v>
      </c>
      <c r="M138" s="1">
        <f t="shared" si="5"/>
        <v>4900</v>
      </c>
      <c r="N138" s="1">
        <f t="shared" si="6"/>
        <v>2100</v>
      </c>
    </row>
    <row r="139" spans="2:14" x14ac:dyDescent="0.25">
      <c r="B139" s="6">
        <v>35</v>
      </c>
      <c r="C139" s="7">
        <v>25</v>
      </c>
      <c r="D139" s="7">
        <v>16.72</v>
      </c>
      <c r="E139" s="8">
        <v>1.48</v>
      </c>
      <c r="F139" s="1">
        <f t="shared" si="2"/>
        <v>11.297297297297296</v>
      </c>
      <c r="G139" s="1">
        <f t="shared" si="3"/>
        <v>8.8516746411483258E-2</v>
      </c>
      <c r="H139" s="1">
        <f>D139/$Q$6</f>
        <v>1.1942857142857142</v>
      </c>
      <c r="I139" s="1">
        <f>G139/$Q$8</f>
        <v>0.35006622874597904</v>
      </c>
      <c r="J139" s="1">
        <f t="shared" si="9"/>
        <v>35</v>
      </c>
      <c r="K139" s="1">
        <f t="shared" si="4"/>
        <v>1225</v>
      </c>
      <c r="L139" s="1">
        <f t="shared" si="10"/>
        <v>25</v>
      </c>
      <c r="M139" s="1">
        <f t="shared" si="5"/>
        <v>625</v>
      </c>
      <c r="N139" s="1">
        <f t="shared" si="6"/>
        <v>875</v>
      </c>
    </row>
    <row r="140" spans="2:14" x14ac:dyDescent="0.25">
      <c r="B140" s="6">
        <v>35</v>
      </c>
      <c r="C140" s="7">
        <v>30</v>
      </c>
      <c r="D140" s="7">
        <v>17.03</v>
      </c>
      <c r="E140" s="8">
        <v>1.66</v>
      </c>
      <c r="F140" s="1">
        <f t="shared" si="2"/>
        <v>10.259036144578314</v>
      </c>
      <c r="G140" s="1">
        <f t="shared" si="3"/>
        <v>9.7475044039929529E-2</v>
      </c>
      <c r="H140" s="1">
        <f>D140/$Q$6</f>
        <v>1.2164285714285714</v>
      </c>
      <c r="I140" s="1">
        <f>G140/$Q$8</f>
        <v>0.38549452445169874</v>
      </c>
      <c r="J140" s="1">
        <f t="shared" si="9"/>
        <v>35</v>
      </c>
      <c r="K140" s="1">
        <f t="shared" si="4"/>
        <v>1225</v>
      </c>
      <c r="L140" s="1">
        <f t="shared" si="10"/>
        <v>30</v>
      </c>
      <c r="M140" s="1">
        <f t="shared" si="5"/>
        <v>900</v>
      </c>
      <c r="N140" s="1">
        <f t="shared" si="6"/>
        <v>1050</v>
      </c>
    </row>
    <row r="141" spans="2:14" x14ac:dyDescent="0.25">
      <c r="B141" s="6">
        <v>35</v>
      </c>
      <c r="C141" s="7">
        <v>35</v>
      </c>
      <c r="D141" s="7">
        <v>17.329999999999998</v>
      </c>
      <c r="E141" s="8">
        <v>1.88</v>
      </c>
      <c r="F141" s="1">
        <f t="shared" si="2"/>
        <v>9.2180851063829792</v>
      </c>
      <c r="G141" s="1">
        <f t="shared" si="3"/>
        <v>0.10848240046162723</v>
      </c>
      <c r="H141" s="1">
        <f>D141/$Q$6</f>
        <v>1.2378571428571428</v>
      </c>
      <c r="I141" s="1">
        <f>G141/$Q$8</f>
        <v>0.42902644250361055</v>
      </c>
      <c r="J141" s="1">
        <f t="shared" si="9"/>
        <v>35</v>
      </c>
      <c r="K141" s="1">
        <f t="shared" si="4"/>
        <v>1225</v>
      </c>
      <c r="L141" s="1">
        <f t="shared" si="10"/>
        <v>35</v>
      </c>
      <c r="M141" s="1">
        <f t="shared" si="5"/>
        <v>1225</v>
      </c>
      <c r="N141" s="1">
        <f t="shared" si="6"/>
        <v>1225</v>
      </c>
    </row>
    <row r="142" spans="2:14" x14ac:dyDescent="0.25">
      <c r="B142" s="6">
        <v>35</v>
      </c>
      <c r="C142" s="7">
        <v>40</v>
      </c>
      <c r="D142" s="7">
        <v>17.63</v>
      </c>
      <c r="E142" s="8">
        <v>2.09</v>
      </c>
      <c r="F142" s="1">
        <f t="shared" si="2"/>
        <v>8.4354066985645932</v>
      </c>
      <c r="G142" s="1">
        <f t="shared" si="3"/>
        <v>0.11854792966534317</v>
      </c>
      <c r="H142" s="1">
        <f>D142/$Q$6</f>
        <v>1.2592857142857141</v>
      </c>
      <c r="I142" s="1">
        <f>G142/$Q$8</f>
        <v>0.46883362014542501</v>
      </c>
      <c r="J142" s="1">
        <f t="shared" si="9"/>
        <v>35</v>
      </c>
      <c r="K142" s="1">
        <f t="shared" si="4"/>
        <v>1225</v>
      </c>
      <c r="L142" s="1">
        <f t="shared" si="10"/>
        <v>40</v>
      </c>
      <c r="M142" s="1">
        <f t="shared" si="5"/>
        <v>1600</v>
      </c>
      <c r="N142" s="1">
        <f t="shared" si="6"/>
        <v>1400</v>
      </c>
    </row>
    <row r="143" spans="2:14" x14ac:dyDescent="0.25">
      <c r="B143" s="6">
        <v>35</v>
      </c>
      <c r="C143" s="7">
        <v>45</v>
      </c>
      <c r="D143" s="7">
        <v>17.579999999999998</v>
      </c>
      <c r="E143" s="8">
        <v>2.31</v>
      </c>
      <c r="F143" s="1">
        <f t="shared" si="2"/>
        <v>7.6103896103896096</v>
      </c>
      <c r="G143" s="1">
        <f t="shared" si="3"/>
        <v>0.13139931740614336</v>
      </c>
      <c r="H143" s="1">
        <f>D143/$Q$6</f>
        <v>1.2557142857142856</v>
      </c>
      <c r="I143" s="1">
        <f>G143/$Q$8</f>
        <v>0.51965831742542579</v>
      </c>
      <c r="J143" s="1">
        <f t="shared" si="9"/>
        <v>35</v>
      </c>
      <c r="K143" s="1">
        <f t="shared" si="4"/>
        <v>1225</v>
      </c>
      <c r="L143" s="1">
        <f t="shared" si="10"/>
        <v>45</v>
      </c>
      <c r="M143" s="1">
        <f t="shared" si="5"/>
        <v>2025</v>
      </c>
      <c r="N143" s="1">
        <f t="shared" si="6"/>
        <v>1575</v>
      </c>
    </row>
    <row r="144" spans="2:14" x14ac:dyDescent="0.25">
      <c r="B144" s="6">
        <v>35</v>
      </c>
      <c r="C144" s="7">
        <v>50</v>
      </c>
      <c r="D144" s="7">
        <v>18.239999999999998</v>
      </c>
      <c r="E144" s="8">
        <v>2.77</v>
      </c>
      <c r="F144" s="1">
        <f t="shared" si="2"/>
        <v>6.5848375451263532</v>
      </c>
      <c r="G144" s="1">
        <f t="shared" si="3"/>
        <v>0.15186403508771931</v>
      </c>
      <c r="H144" s="1">
        <f>D144/$Q$6</f>
        <v>1.3028571428571427</v>
      </c>
      <c r="I144" s="1">
        <f>G144/$Q$8</f>
        <v>0.60059222916047195</v>
      </c>
      <c r="J144" s="1">
        <f t="shared" si="9"/>
        <v>35</v>
      </c>
      <c r="K144" s="1">
        <f t="shared" si="4"/>
        <v>1225</v>
      </c>
      <c r="L144" s="1">
        <f t="shared" si="10"/>
        <v>50</v>
      </c>
      <c r="M144" s="1">
        <f t="shared" si="5"/>
        <v>2500</v>
      </c>
      <c r="N144" s="1">
        <f t="shared" si="6"/>
        <v>1750</v>
      </c>
    </row>
    <row r="145" spans="2:14" x14ac:dyDescent="0.25">
      <c r="B145" s="6">
        <v>35</v>
      </c>
      <c r="C145" s="7">
        <v>55</v>
      </c>
      <c r="D145" s="7">
        <v>18.54</v>
      </c>
      <c r="E145" s="8">
        <v>3.17</v>
      </c>
      <c r="F145" s="1">
        <f t="shared" si="2"/>
        <v>5.8485804416403786</v>
      </c>
      <c r="G145" s="1">
        <f t="shared" si="3"/>
        <v>0.17098166127292341</v>
      </c>
      <c r="H145" s="1">
        <f>D145/$Q$6</f>
        <v>1.3242857142857143</v>
      </c>
      <c r="I145" s="1">
        <f>G145/$Q$8</f>
        <v>0.67619866040139209</v>
      </c>
      <c r="J145" s="1">
        <f t="shared" si="9"/>
        <v>35</v>
      </c>
      <c r="K145" s="1">
        <f t="shared" si="4"/>
        <v>1225</v>
      </c>
      <c r="L145" s="1">
        <f t="shared" si="10"/>
        <v>55</v>
      </c>
      <c r="M145" s="1">
        <f t="shared" si="5"/>
        <v>3025</v>
      </c>
      <c r="N145" s="1">
        <f t="shared" si="6"/>
        <v>1925</v>
      </c>
    </row>
    <row r="146" spans="2:14" x14ac:dyDescent="0.25">
      <c r="B146" s="6">
        <v>35</v>
      </c>
      <c r="C146" s="7">
        <v>60</v>
      </c>
      <c r="D146" s="7">
        <v>19.02</v>
      </c>
      <c r="E146" s="8">
        <v>3.65</v>
      </c>
      <c r="F146" s="1">
        <f t="shared" si="2"/>
        <v>5.2109589041095887</v>
      </c>
      <c r="G146" s="1">
        <f t="shared" si="3"/>
        <v>0.19190325972660358</v>
      </c>
      <c r="H146" s="1">
        <f>D146/$Q$6</f>
        <v>1.3585714285714285</v>
      </c>
      <c r="I146" s="1">
        <f>G146/$Q$8</f>
        <v>0.75893944524645485</v>
      </c>
      <c r="J146" s="1">
        <f t="shared" si="9"/>
        <v>35</v>
      </c>
      <c r="K146" s="1">
        <f t="shared" si="4"/>
        <v>1225</v>
      </c>
      <c r="L146" s="1">
        <f t="shared" si="10"/>
        <v>60</v>
      </c>
      <c r="M146" s="1">
        <f t="shared" si="5"/>
        <v>3600</v>
      </c>
      <c r="N146" s="1">
        <f t="shared" si="6"/>
        <v>2100</v>
      </c>
    </row>
    <row r="147" spans="2:14" x14ac:dyDescent="0.25">
      <c r="B147" s="6">
        <v>35</v>
      </c>
      <c r="C147" s="7">
        <v>65</v>
      </c>
      <c r="D147" s="7">
        <v>19.53</v>
      </c>
      <c r="E147" s="8">
        <v>4.42</v>
      </c>
      <c r="F147" s="1">
        <f t="shared" si="2"/>
        <v>4.4185520361990953</v>
      </c>
      <c r="G147" s="1">
        <f t="shared" si="3"/>
        <v>0.22631848438300051</v>
      </c>
      <c r="H147" s="1">
        <f>D147/$Q$6</f>
        <v>1.395</v>
      </c>
      <c r="I147" s="1">
        <f>G147/$Q$8</f>
        <v>0.89504485349209251</v>
      </c>
      <c r="J147" s="1">
        <f t="shared" si="9"/>
        <v>35</v>
      </c>
      <c r="K147" s="1">
        <f t="shared" si="4"/>
        <v>1225</v>
      </c>
      <c r="L147" s="1">
        <f t="shared" si="10"/>
        <v>65</v>
      </c>
      <c r="M147" s="1">
        <f t="shared" si="5"/>
        <v>4225</v>
      </c>
      <c r="N147" s="1">
        <f t="shared" si="6"/>
        <v>2275</v>
      </c>
    </row>
    <row r="148" spans="2:14" x14ac:dyDescent="0.25">
      <c r="B148" s="6">
        <v>35</v>
      </c>
      <c r="C148" s="7">
        <v>70</v>
      </c>
      <c r="D148" s="7">
        <v>19.96</v>
      </c>
      <c r="E148" s="8">
        <v>5.62</v>
      </c>
      <c r="F148" s="1">
        <f t="shared" si="2"/>
        <v>3.5516014234875444</v>
      </c>
      <c r="G148" s="1">
        <f t="shared" si="3"/>
        <v>0.28156312625250501</v>
      </c>
      <c r="H148" s="1">
        <f>D148/$Q$6</f>
        <v>1.4257142857142857</v>
      </c>
      <c r="I148" s="1">
        <f>G148/$Q$8</f>
        <v>1.1135264880042572</v>
      </c>
      <c r="J148" s="1">
        <f t="shared" si="9"/>
        <v>35</v>
      </c>
      <c r="K148" s="1">
        <f t="shared" si="4"/>
        <v>1225</v>
      </c>
      <c r="L148" s="1">
        <f t="shared" si="10"/>
        <v>70</v>
      </c>
      <c r="M148" s="1">
        <f t="shared" si="5"/>
        <v>4900</v>
      </c>
      <c r="N148" s="1">
        <f t="shared" si="6"/>
        <v>2450</v>
      </c>
    </row>
    <row r="149" spans="2:14" x14ac:dyDescent="0.25">
      <c r="B149" s="6">
        <v>43</v>
      </c>
      <c r="C149" s="7">
        <v>25</v>
      </c>
      <c r="D149" s="7">
        <v>17.5</v>
      </c>
      <c r="E149" s="8">
        <v>1.48</v>
      </c>
      <c r="F149" s="1">
        <f t="shared" si="2"/>
        <v>11.824324324324325</v>
      </c>
      <c r="G149" s="1">
        <f t="shared" si="3"/>
        <v>8.4571428571428575E-2</v>
      </c>
      <c r="H149" s="1">
        <f>D149/$Q$6</f>
        <v>1.25</v>
      </c>
      <c r="I149" s="1">
        <f>G149/$Q$8</f>
        <v>0.33446327683615823</v>
      </c>
      <c r="J149" s="1">
        <f t="shared" si="9"/>
        <v>43</v>
      </c>
      <c r="K149" s="1">
        <f t="shared" si="4"/>
        <v>1849</v>
      </c>
      <c r="L149" s="1">
        <f t="shared" si="10"/>
        <v>25</v>
      </c>
      <c r="M149" s="1">
        <f t="shared" si="5"/>
        <v>625</v>
      </c>
      <c r="N149" s="1">
        <f t="shared" si="6"/>
        <v>1075</v>
      </c>
    </row>
    <row r="150" spans="2:14" x14ac:dyDescent="0.25">
      <c r="B150" s="6">
        <v>43</v>
      </c>
      <c r="C150" s="7">
        <v>30</v>
      </c>
      <c r="D150" s="7">
        <v>17.89</v>
      </c>
      <c r="E150" s="8">
        <v>1.62</v>
      </c>
      <c r="F150" s="1">
        <f t="shared" si="2"/>
        <v>11.043209876543209</v>
      </c>
      <c r="G150" s="1">
        <f t="shared" si="3"/>
        <v>9.0553381777529349E-2</v>
      </c>
      <c r="H150" s="1">
        <f>D150/$Q$6</f>
        <v>1.2778571428571428</v>
      </c>
      <c r="I150" s="1">
        <f>G150/$Q$8</f>
        <v>0.3581207188941839</v>
      </c>
      <c r="J150" s="1">
        <f t="shared" si="9"/>
        <v>43</v>
      </c>
      <c r="K150" s="1">
        <f t="shared" si="4"/>
        <v>1849</v>
      </c>
      <c r="L150" s="1">
        <f t="shared" si="10"/>
        <v>30</v>
      </c>
      <c r="M150" s="1">
        <f t="shared" si="5"/>
        <v>900</v>
      </c>
      <c r="N150" s="1">
        <f t="shared" si="6"/>
        <v>1290</v>
      </c>
    </row>
    <row r="151" spans="2:14" x14ac:dyDescent="0.25">
      <c r="B151" s="6">
        <v>43</v>
      </c>
      <c r="C151" s="7">
        <v>35</v>
      </c>
      <c r="D151" s="7">
        <v>18.28</v>
      </c>
      <c r="E151" s="8">
        <v>1.79</v>
      </c>
      <c r="F151" s="1">
        <f t="shared" si="2"/>
        <v>10.212290502793296</v>
      </c>
      <c r="G151" s="1">
        <f t="shared" si="3"/>
        <v>9.7921225382932159E-2</v>
      </c>
      <c r="H151" s="1">
        <f>D151/$Q$6</f>
        <v>1.3057142857142858</v>
      </c>
      <c r="I151" s="1">
        <f>G151/$Q$8</f>
        <v>0.38725908343532495</v>
      </c>
      <c r="J151" s="1">
        <f t="shared" si="9"/>
        <v>43</v>
      </c>
      <c r="K151" s="1">
        <f t="shared" si="4"/>
        <v>1849</v>
      </c>
      <c r="L151" s="1">
        <f t="shared" si="10"/>
        <v>35</v>
      </c>
      <c r="M151" s="1">
        <f t="shared" si="5"/>
        <v>1225</v>
      </c>
      <c r="N151" s="1">
        <f t="shared" si="6"/>
        <v>1505</v>
      </c>
    </row>
    <row r="152" spans="2:14" x14ac:dyDescent="0.25">
      <c r="B152" s="6">
        <v>43</v>
      </c>
      <c r="C152" s="7">
        <v>40</v>
      </c>
      <c r="D152" s="7">
        <v>18.670000000000002</v>
      </c>
      <c r="E152" s="8">
        <v>2</v>
      </c>
      <c r="F152" s="1">
        <f t="shared" si="2"/>
        <v>9.3350000000000009</v>
      </c>
      <c r="G152" s="1">
        <f t="shared" si="3"/>
        <v>0.1071237279057311</v>
      </c>
      <c r="H152" s="1">
        <f>D152/$Q$6</f>
        <v>1.3335714285714286</v>
      </c>
      <c r="I152" s="1">
        <f>G152/$Q$8</f>
        <v>0.42365316120910607</v>
      </c>
      <c r="J152" s="1">
        <f t="shared" si="9"/>
        <v>43</v>
      </c>
      <c r="K152" s="1">
        <f t="shared" si="4"/>
        <v>1849</v>
      </c>
      <c r="L152" s="1">
        <f t="shared" si="10"/>
        <v>40</v>
      </c>
      <c r="M152" s="1">
        <f t="shared" si="5"/>
        <v>1600</v>
      </c>
      <c r="N152" s="1">
        <f t="shared" si="6"/>
        <v>1720</v>
      </c>
    </row>
    <row r="153" spans="2:14" x14ac:dyDescent="0.25">
      <c r="B153" s="6">
        <v>43</v>
      </c>
      <c r="C153" s="7">
        <v>45</v>
      </c>
      <c r="D153" s="7">
        <v>19.059999999999999</v>
      </c>
      <c r="E153" s="8">
        <v>2.2599999999999998</v>
      </c>
      <c r="F153" s="1">
        <f t="shared" si="2"/>
        <v>8.4336283185840717</v>
      </c>
      <c r="G153" s="1">
        <f t="shared" si="3"/>
        <v>0.11857292759706189</v>
      </c>
      <c r="H153" s="1">
        <f>D153/$Q$6</f>
        <v>1.3614285714285714</v>
      </c>
      <c r="I153" s="1">
        <f>G153/$Q$8</f>
        <v>0.46893248202227872</v>
      </c>
      <c r="J153" s="1">
        <f t="shared" si="9"/>
        <v>43</v>
      </c>
      <c r="K153" s="1">
        <f t="shared" si="4"/>
        <v>1849</v>
      </c>
      <c r="L153" s="1">
        <f t="shared" si="10"/>
        <v>45</v>
      </c>
      <c r="M153" s="1">
        <f t="shared" si="5"/>
        <v>2025</v>
      </c>
      <c r="N153" s="1">
        <f t="shared" si="6"/>
        <v>1935</v>
      </c>
    </row>
    <row r="154" spans="2:14" x14ac:dyDescent="0.25">
      <c r="B154" s="6">
        <v>43</v>
      </c>
      <c r="C154" s="7">
        <v>50</v>
      </c>
      <c r="D154" s="7">
        <v>19.45</v>
      </c>
      <c r="E154" s="8">
        <v>2.64</v>
      </c>
      <c r="F154" s="1">
        <f t="shared" si="2"/>
        <v>7.3674242424242422</v>
      </c>
      <c r="G154" s="1">
        <f t="shared" si="3"/>
        <v>0.13573264781491004</v>
      </c>
      <c r="H154" s="1">
        <f>D154/$Q$6</f>
        <v>1.3892857142857142</v>
      </c>
      <c r="I154" s="1">
        <f>G154/$Q$8</f>
        <v>0.53679578231885328</v>
      </c>
      <c r="J154" s="1">
        <f t="shared" si="9"/>
        <v>43</v>
      </c>
      <c r="K154" s="1">
        <f t="shared" si="4"/>
        <v>1849</v>
      </c>
      <c r="L154" s="1">
        <f t="shared" si="10"/>
        <v>50</v>
      </c>
      <c r="M154" s="1">
        <f t="shared" si="5"/>
        <v>2500</v>
      </c>
      <c r="N154" s="1">
        <f t="shared" si="6"/>
        <v>2150</v>
      </c>
    </row>
    <row r="155" spans="2:14" x14ac:dyDescent="0.25">
      <c r="B155" s="6">
        <v>43</v>
      </c>
      <c r="C155" s="7">
        <v>55</v>
      </c>
      <c r="D155" s="7">
        <v>19.84</v>
      </c>
      <c r="E155" s="8">
        <v>3</v>
      </c>
      <c r="F155" s="1">
        <f t="shared" si="2"/>
        <v>6.6133333333333333</v>
      </c>
      <c r="G155" s="1">
        <f t="shared" si="3"/>
        <v>0.15120967741935484</v>
      </c>
      <c r="H155" s="1">
        <f>D155/$Q$6</f>
        <v>1.417142857142857</v>
      </c>
      <c r="I155" s="1">
        <f>G155/$Q$8</f>
        <v>0.59800437397484973</v>
      </c>
      <c r="J155" s="1">
        <f t="shared" si="9"/>
        <v>43</v>
      </c>
      <c r="K155" s="1">
        <f t="shared" si="4"/>
        <v>1849</v>
      </c>
      <c r="L155" s="1">
        <f t="shared" si="10"/>
        <v>55</v>
      </c>
      <c r="M155" s="1">
        <f t="shared" si="5"/>
        <v>3025</v>
      </c>
      <c r="N155" s="1">
        <f t="shared" si="6"/>
        <v>2365</v>
      </c>
    </row>
    <row r="156" spans="2:14" x14ac:dyDescent="0.25">
      <c r="B156" s="6">
        <v>43</v>
      </c>
      <c r="C156" s="7">
        <v>60</v>
      </c>
      <c r="D156" s="7">
        <v>20.23</v>
      </c>
      <c r="E156" s="8">
        <v>3.46</v>
      </c>
      <c r="F156" s="1">
        <f t="shared" si="2"/>
        <v>5.8468208092485554</v>
      </c>
      <c r="G156" s="1">
        <f t="shared" si="3"/>
        <v>0.17103311913000493</v>
      </c>
      <c r="H156" s="1">
        <f>D156/$Q$6</f>
        <v>1.4450000000000001</v>
      </c>
      <c r="I156" s="1">
        <f>G156/$Q$8</f>
        <v>0.676402166050867</v>
      </c>
      <c r="J156" s="1">
        <f t="shared" si="9"/>
        <v>43</v>
      </c>
      <c r="K156" s="1">
        <f t="shared" si="4"/>
        <v>1849</v>
      </c>
      <c r="L156" s="1">
        <f t="shared" si="10"/>
        <v>60</v>
      </c>
      <c r="M156" s="1">
        <f t="shared" si="5"/>
        <v>3600</v>
      </c>
      <c r="N156" s="1">
        <f t="shared" si="6"/>
        <v>2580</v>
      </c>
    </row>
    <row r="157" spans="2:14" x14ac:dyDescent="0.25">
      <c r="B157" s="6">
        <v>43</v>
      </c>
      <c r="C157" s="7">
        <v>65</v>
      </c>
      <c r="D157" s="7">
        <v>20.62</v>
      </c>
      <c r="E157" s="8">
        <v>4.21</v>
      </c>
      <c r="F157" s="1">
        <f t="shared" si="2"/>
        <v>4.8978622327790973</v>
      </c>
      <c r="G157" s="1">
        <f t="shared" si="3"/>
        <v>0.20417070805043647</v>
      </c>
      <c r="H157" s="1">
        <f>D157/$Q$6</f>
        <v>1.4728571428571429</v>
      </c>
      <c r="I157" s="1">
        <f>G157/$Q$8</f>
        <v>0.80745477760059625</v>
      </c>
      <c r="J157" s="1">
        <f t="shared" si="9"/>
        <v>43</v>
      </c>
      <c r="K157" s="1">
        <f t="shared" si="4"/>
        <v>1849</v>
      </c>
      <c r="L157" s="1">
        <f t="shared" si="10"/>
        <v>65</v>
      </c>
      <c r="M157" s="1">
        <f t="shared" si="5"/>
        <v>4225</v>
      </c>
      <c r="N157" s="1">
        <f t="shared" si="6"/>
        <v>2795</v>
      </c>
    </row>
    <row r="158" spans="2:14" x14ac:dyDescent="0.25">
      <c r="B158" s="9">
        <v>43</v>
      </c>
      <c r="C158" s="10">
        <v>70</v>
      </c>
      <c r="D158" s="10">
        <v>21</v>
      </c>
      <c r="E158" s="11">
        <v>5.16</v>
      </c>
      <c r="F158" s="1">
        <f t="shared" si="2"/>
        <v>4.0697674418604652</v>
      </c>
      <c r="G158" s="1">
        <f t="shared" si="3"/>
        <v>0.24571428571428572</v>
      </c>
      <c r="H158" s="1">
        <f>D158/$Q$6</f>
        <v>1.5</v>
      </c>
      <c r="I158" s="1">
        <f>G158/$Q$8</f>
        <v>0.97175141242937868</v>
      </c>
      <c r="J158" s="1">
        <f t="shared" si="9"/>
        <v>43</v>
      </c>
      <c r="K158" s="1">
        <f t="shared" si="4"/>
        <v>1849</v>
      </c>
      <c r="L158" s="1">
        <f t="shared" si="10"/>
        <v>70</v>
      </c>
      <c r="M158" s="1">
        <f t="shared" si="5"/>
        <v>4900</v>
      </c>
      <c r="N158" s="1">
        <f t="shared" si="6"/>
        <v>3010</v>
      </c>
    </row>
    <row r="159" spans="2:14" x14ac:dyDescent="0.2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2:14" x14ac:dyDescent="0.2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4:5" x14ac:dyDescent="0.25">
      <c r="D161" s="4"/>
      <c r="E161" s="4"/>
    </row>
    <row r="162" spans="4:5" x14ac:dyDescent="0.25">
      <c r="D162" s="4"/>
      <c r="E162" s="4"/>
    </row>
    <row r="163" spans="4:5" x14ac:dyDescent="0.25">
      <c r="D163" s="4"/>
      <c r="E163" s="4"/>
    </row>
    <row r="164" spans="4:5" x14ac:dyDescent="0.25">
      <c r="D164" s="4"/>
      <c r="E164" s="4"/>
    </row>
    <row r="165" spans="4:5" x14ac:dyDescent="0.25">
      <c r="D165" s="4"/>
      <c r="E165" s="4"/>
    </row>
    <row r="166" spans="4:5" x14ac:dyDescent="0.25">
      <c r="D166" s="4"/>
      <c r="E166" s="4"/>
    </row>
    <row r="167" spans="4:5" x14ac:dyDescent="0.25">
      <c r="D167" s="4"/>
      <c r="E167" s="4"/>
    </row>
    <row r="168" spans="4:5" x14ac:dyDescent="0.25">
      <c r="D168" s="4"/>
      <c r="E168" s="4"/>
    </row>
    <row r="169" spans="4:5" x14ac:dyDescent="0.25">
      <c r="D169" s="4"/>
      <c r="E169" s="4"/>
    </row>
    <row r="170" spans="4:5" x14ac:dyDescent="0.25">
      <c r="D170" s="4"/>
      <c r="E170" s="4"/>
    </row>
    <row r="171" spans="4:5" x14ac:dyDescent="0.25">
      <c r="D171" s="4"/>
      <c r="E171" s="4"/>
    </row>
    <row r="172" spans="4:5" x14ac:dyDescent="0.25">
      <c r="D172" s="4"/>
      <c r="E172" s="4"/>
    </row>
    <row r="173" spans="4:5" x14ac:dyDescent="0.25">
      <c r="D173" s="4"/>
      <c r="E173" s="4"/>
    </row>
    <row r="174" spans="4:5" x14ac:dyDescent="0.25">
      <c r="D174" s="4"/>
      <c r="E174" s="4"/>
    </row>
    <row r="175" spans="4:5" x14ac:dyDescent="0.25">
      <c r="D175" s="4"/>
      <c r="E175" s="4"/>
    </row>
    <row r="176" spans="4:5" x14ac:dyDescent="0.25">
      <c r="D176" s="4"/>
      <c r="E176" s="4"/>
    </row>
    <row r="177" spans="4:5" x14ac:dyDescent="0.25">
      <c r="D177" s="4"/>
      <c r="E177" s="4"/>
    </row>
    <row r="178" spans="4:5" x14ac:dyDescent="0.25">
      <c r="D178" s="4"/>
      <c r="E178" s="4"/>
    </row>
    <row r="179" spans="4:5" x14ac:dyDescent="0.25">
      <c r="D179" s="4"/>
      <c r="E179" s="4"/>
    </row>
    <row r="180" spans="4:5" x14ac:dyDescent="0.25">
      <c r="D180" s="4"/>
      <c r="E180" s="4"/>
    </row>
    <row r="181" spans="4:5" x14ac:dyDescent="0.25">
      <c r="D181" s="4"/>
      <c r="E181" s="4"/>
    </row>
    <row r="182" spans="4:5" x14ac:dyDescent="0.25">
      <c r="D182" s="4"/>
      <c r="E182" s="4"/>
    </row>
    <row r="183" spans="4:5" x14ac:dyDescent="0.25">
      <c r="D183" s="4"/>
      <c r="E183" s="4"/>
    </row>
    <row r="184" spans="4:5" x14ac:dyDescent="0.25">
      <c r="D184" s="4"/>
      <c r="E184" s="4"/>
    </row>
    <row r="185" spans="4:5" x14ac:dyDescent="0.25">
      <c r="D185" s="4"/>
      <c r="E185" s="4"/>
    </row>
    <row r="186" spans="4:5" x14ac:dyDescent="0.25">
      <c r="D186" s="4"/>
      <c r="E186" s="4"/>
    </row>
    <row r="187" spans="4:5" x14ac:dyDescent="0.25">
      <c r="D187" s="4"/>
      <c r="E187" s="4"/>
    </row>
    <row r="188" spans="4:5" x14ac:dyDescent="0.25">
      <c r="D188" s="4"/>
      <c r="E188" s="4"/>
    </row>
    <row r="189" spans="4:5" x14ac:dyDescent="0.25">
      <c r="D189" s="4"/>
      <c r="E189" s="4"/>
    </row>
    <row r="190" spans="4:5" x14ac:dyDescent="0.25">
      <c r="D190" s="4"/>
      <c r="E190" s="4"/>
    </row>
    <row r="191" spans="4:5" x14ac:dyDescent="0.25">
      <c r="D191" s="4"/>
      <c r="E191" s="4"/>
    </row>
    <row r="192" spans="4:5" x14ac:dyDescent="0.25">
      <c r="D192" s="4"/>
      <c r="E192" s="4"/>
    </row>
    <row r="193" spans="4:5" x14ac:dyDescent="0.25">
      <c r="D193" s="4"/>
      <c r="E193" s="4"/>
    </row>
    <row r="194" spans="4:5" x14ac:dyDescent="0.25">
      <c r="D194" s="4"/>
      <c r="E194" s="4"/>
    </row>
    <row r="195" spans="4:5" x14ac:dyDescent="0.25">
      <c r="D195" s="4"/>
      <c r="E195" s="4"/>
    </row>
    <row r="196" spans="4:5" x14ac:dyDescent="0.25">
      <c r="D196" s="4"/>
      <c r="E196" s="4"/>
    </row>
    <row r="197" spans="4:5" x14ac:dyDescent="0.25">
      <c r="D197" s="4"/>
      <c r="E197" s="4"/>
    </row>
    <row r="198" spans="4:5" x14ac:dyDescent="0.25">
      <c r="D198" s="4"/>
      <c r="E198" s="4"/>
    </row>
    <row r="199" spans="4:5" x14ac:dyDescent="0.25">
      <c r="D199" s="4"/>
      <c r="E199" s="4"/>
    </row>
    <row r="200" spans="4:5" x14ac:dyDescent="0.25">
      <c r="D200" s="4"/>
      <c r="E200" s="4"/>
    </row>
    <row r="201" spans="4:5" x14ac:dyDescent="0.25">
      <c r="D201" s="4"/>
      <c r="E201" s="4"/>
    </row>
    <row r="202" spans="4:5" x14ac:dyDescent="0.25">
      <c r="D202" s="4"/>
      <c r="E202" s="4"/>
    </row>
    <row r="203" spans="4:5" x14ac:dyDescent="0.25">
      <c r="D203" s="4"/>
      <c r="E203" s="4"/>
    </row>
    <row r="204" spans="4:5" x14ac:dyDescent="0.25">
      <c r="D204" s="4"/>
      <c r="E204" s="4"/>
    </row>
    <row r="205" spans="4:5" x14ac:dyDescent="0.25">
      <c r="D205" s="4"/>
      <c r="E205" s="4"/>
    </row>
    <row r="206" spans="4:5" x14ac:dyDescent="0.25">
      <c r="D206" s="4"/>
      <c r="E206" s="4"/>
    </row>
    <row r="207" spans="4:5" x14ac:dyDescent="0.25">
      <c r="D207" s="4"/>
      <c r="E207" s="4"/>
    </row>
    <row r="208" spans="4:5" x14ac:dyDescent="0.25">
      <c r="D208" s="4"/>
      <c r="E208" s="4"/>
    </row>
    <row r="209" spans="4:5" x14ac:dyDescent="0.25">
      <c r="D209" s="4"/>
      <c r="E209" s="4"/>
    </row>
    <row r="210" spans="4:5" x14ac:dyDescent="0.25">
      <c r="D210" s="4"/>
      <c r="E210" s="4"/>
    </row>
    <row r="211" spans="4:5" x14ac:dyDescent="0.25">
      <c r="D211" s="4"/>
      <c r="E211" s="4"/>
    </row>
    <row r="212" spans="4:5" x14ac:dyDescent="0.25">
      <c r="D212" s="4"/>
      <c r="E212" s="4"/>
    </row>
    <row r="213" spans="4:5" x14ac:dyDescent="0.25">
      <c r="D213" s="4"/>
      <c r="E213" s="4"/>
    </row>
    <row r="214" spans="4:5" x14ac:dyDescent="0.25">
      <c r="D214" s="4"/>
      <c r="E214" s="4"/>
    </row>
    <row r="215" spans="4:5" x14ac:dyDescent="0.25">
      <c r="D215" s="4"/>
      <c r="E215" s="4"/>
    </row>
    <row r="216" spans="4:5" x14ac:dyDescent="0.25">
      <c r="D216" s="4"/>
      <c r="E216" s="4"/>
    </row>
    <row r="217" spans="4:5" x14ac:dyDescent="0.25">
      <c r="D217" s="4"/>
      <c r="E217" s="4"/>
    </row>
    <row r="218" spans="4:5" x14ac:dyDescent="0.25">
      <c r="D218" s="4"/>
      <c r="E218" s="4"/>
    </row>
    <row r="219" spans="4:5" x14ac:dyDescent="0.25">
      <c r="D219" s="4"/>
      <c r="E219" s="4"/>
    </row>
    <row r="220" spans="4:5" x14ac:dyDescent="0.25">
      <c r="D220" s="4"/>
      <c r="E220" s="4"/>
    </row>
    <row r="221" spans="4:5" x14ac:dyDescent="0.25">
      <c r="D221" s="4"/>
      <c r="E221" s="4"/>
    </row>
    <row r="222" spans="4:5" x14ac:dyDescent="0.25">
      <c r="D222" s="4"/>
      <c r="E222" s="4"/>
    </row>
    <row r="223" spans="4:5" x14ac:dyDescent="0.25">
      <c r="D223" s="4"/>
      <c r="E223" s="4"/>
    </row>
    <row r="224" spans="4:5" x14ac:dyDescent="0.25">
      <c r="D224" s="4"/>
      <c r="E224" s="4"/>
    </row>
    <row r="225" spans="4:5" x14ac:dyDescent="0.25">
      <c r="D225" s="4"/>
      <c r="E225" s="4"/>
    </row>
    <row r="226" spans="4:5" x14ac:dyDescent="0.25">
      <c r="D226" s="4"/>
      <c r="E226" s="4"/>
    </row>
    <row r="227" spans="4:5" x14ac:dyDescent="0.25">
      <c r="D227" s="4"/>
      <c r="E227" s="4"/>
    </row>
    <row r="228" spans="4:5" x14ac:dyDescent="0.25">
      <c r="D228" s="4"/>
      <c r="E228" s="4"/>
    </row>
    <row r="229" spans="4:5" x14ac:dyDescent="0.25">
      <c r="D229" s="4"/>
      <c r="E229" s="4"/>
    </row>
    <row r="230" spans="4:5" x14ac:dyDescent="0.25">
      <c r="D230" s="4"/>
      <c r="E230" s="4"/>
    </row>
    <row r="231" spans="4:5" x14ac:dyDescent="0.25">
      <c r="D231" s="4"/>
      <c r="E231" s="4"/>
    </row>
    <row r="232" spans="4:5" x14ac:dyDescent="0.25">
      <c r="D232" s="4"/>
      <c r="E232" s="4"/>
    </row>
    <row r="233" spans="4:5" x14ac:dyDescent="0.25">
      <c r="D233" s="4"/>
      <c r="E233" s="4"/>
    </row>
    <row r="234" spans="4:5" x14ac:dyDescent="0.25">
      <c r="D234" s="4"/>
      <c r="E234" s="4"/>
    </row>
    <row r="235" spans="4:5" x14ac:dyDescent="0.25">
      <c r="D235" s="4"/>
      <c r="E235" s="4"/>
    </row>
    <row r="236" spans="4:5" x14ac:dyDescent="0.25">
      <c r="D236" s="4"/>
      <c r="E236" s="4"/>
    </row>
    <row r="237" spans="4:5" x14ac:dyDescent="0.25">
      <c r="D237" s="4"/>
      <c r="E237" s="4"/>
    </row>
    <row r="238" spans="4:5" x14ac:dyDescent="0.25">
      <c r="D238" s="4"/>
      <c r="E238" s="4"/>
    </row>
    <row r="239" spans="4:5" x14ac:dyDescent="0.25">
      <c r="D239" s="4"/>
      <c r="E239" s="4"/>
    </row>
    <row r="240" spans="4:5" x14ac:dyDescent="0.25">
      <c r="D240" s="4"/>
      <c r="E240" s="4"/>
    </row>
    <row r="241" spans="4:5" x14ac:dyDescent="0.25">
      <c r="D241" s="4"/>
      <c r="E241" s="4"/>
    </row>
    <row r="242" spans="4:5" x14ac:dyDescent="0.25">
      <c r="D242" s="4"/>
      <c r="E242" s="4"/>
    </row>
    <row r="243" spans="4:5" x14ac:dyDescent="0.25">
      <c r="D243" s="4"/>
      <c r="E243" s="4"/>
    </row>
    <row r="244" spans="4:5" x14ac:dyDescent="0.25">
      <c r="D244" s="4"/>
      <c r="E244" s="4"/>
    </row>
    <row r="245" spans="4:5" x14ac:dyDescent="0.25">
      <c r="D245" s="4"/>
      <c r="E245" s="4"/>
    </row>
    <row r="246" spans="4:5" x14ac:dyDescent="0.25">
      <c r="D246" s="4"/>
      <c r="E246" s="4"/>
    </row>
    <row r="247" spans="4:5" x14ac:dyDescent="0.25">
      <c r="D247" s="4"/>
      <c r="E247" s="4"/>
    </row>
    <row r="248" spans="4:5" x14ac:dyDescent="0.25">
      <c r="D248" s="4"/>
      <c r="E248" s="4"/>
    </row>
    <row r="249" spans="4:5" x14ac:dyDescent="0.25">
      <c r="D249" s="4"/>
      <c r="E249" s="4"/>
    </row>
    <row r="250" spans="4:5" x14ac:dyDescent="0.25">
      <c r="D250" s="4"/>
      <c r="E250" s="4"/>
    </row>
    <row r="251" spans="4:5" x14ac:dyDescent="0.25">
      <c r="D251" s="4"/>
      <c r="E251" s="4"/>
    </row>
    <row r="252" spans="4:5" x14ac:dyDescent="0.25">
      <c r="D252" s="4"/>
      <c r="E252" s="4"/>
    </row>
    <row r="253" spans="4:5" x14ac:dyDescent="0.25">
      <c r="D253" s="4"/>
      <c r="E253" s="4"/>
    </row>
    <row r="254" spans="4:5" x14ac:dyDescent="0.25">
      <c r="D254" s="4"/>
      <c r="E254" s="4"/>
    </row>
    <row r="255" spans="4:5" x14ac:dyDescent="0.25">
      <c r="D255" s="4"/>
      <c r="E255" s="4"/>
    </row>
    <row r="256" spans="4:5" x14ac:dyDescent="0.25">
      <c r="D256" s="4"/>
      <c r="E256" s="4"/>
    </row>
    <row r="257" spans="4:5" x14ac:dyDescent="0.25">
      <c r="D257" s="4"/>
      <c r="E257" s="4"/>
    </row>
    <row r="258" spans="4:5" x14ac:dyDescent="0.25">
      <c r="D258" s="4"/>
      <c r="E258" s="4"/>
    </row>
    <row r="259" spans="4:5" x14ac:dyDescent="0.25">
      <c r="D259" s="4"/>
      <c r="E259" s="4"/>
    </row>
    <row r="260" spans="4:5" x14ac:dyDescent="0.25">
      <c r="D260" s="4"/>
      <c r="E260" s="4"/>
    </row>
    <row r="261" spans="4:5" x14ac:dyDescent="0.25">
      <c r="D261" s="4"/>
      <c r="E261" s="4"/>
    </row>
    <row r="262" spans="4:5" x14ac:dyDescent="0.25">
      <c r="D262" s="4"/>
      <c r="E262" s="4"/>
    </row>
    <row r="263" spans="4:5" x14ac:dyDescent="0.25">
      <c r="D263" s="4"/>
      <c r="E263" s="4"/>
    </row>
    <row r="264" spans="4:5" x14ac:dyDescent="0.25">
      <c r="D264" s="4"/>
      <c r="E264" s="4"/>
    </row>
    <row r="265" spans="4:5" x14ac:dyDescent="0.25">
      <c r="D265" s="4"/>
      <c r="E265" s="4"/>
    </row>
    <row r="266" spans="4:5" x14ac:dyDescent="0.25">
      <c r="D266" s="4"/>
      <c r="E266" s="4"/>
    </row>
    <row r="267" spans="4:5" x14ac:dyDescent="0.25">
      <c r="D267" s="4"/>
      <c r="E267" s="4"/>
    </row>
    <row r="268" spans="4:5" x14ac:dyDescent="0.25">
      <c r="D268" s="4"/>
      <c r="E268" s="4"/>
    </row>
    <row r="269" spans="4:5" x14ac:dyDescent="0.25">
      <c r="D269" s="4"/>
      <c r="E269" s="4"/>
    </row>
    <row r="270" spans="4:5" x14ac:dyDescent="0.25">
      <c r="D270" s="4"/>
      <c r="E270" s="4"/>
    </row>
    <row r="271" spans="4:5" x14ac:dyDescent="0.25">
      <c r="D271" s="4"/>
      <c r="E271" s="4"/>
    </row>
    <row r="272" spans="4:5" x14ac:dyDescent="0.25">
      <c r="D272" s="4"/>
      <c r="E272" s="4"/>
    </row>
    <row r="273" spans="4:5" x14ac:dyDescent="0.25">
      <c r="D273" s="4"/>
      <c r="E273" s="4"/>
    </row>
    <row r="274" spans="4:5" x14ac:dyDescent="0.25">
      <c r="D274" s="4"/>
      <c r="E274" s="4"/>
    </row>
    <row r="275" spans="4:5" x14ac:dyDescent="0.25">
      <c r="D275" s="4"/>
      <c r="E275" s="4"/>
    </row>
    <row r="276" spans="4:5" x14ac:dyDescent="0.25">
      <c r="D276" s="4"/>
      <c r="E276" s="4"/>
    </row>
    <row r="277" spans="4:5" x14ac:dyDescent="0.25">
      <c r="D277" s="4"/>
      <c r="E277" s="4"/>
    </row>
    <row r="278" spans="4:5" x14ac:dyDescent="0.25">
      <c r="D278" s="4"/>
      <c r="E278" s="4"/>
    </row>
    <row r="279" spans="4:5" x14ac:dyDescent="0.25">
      <c r="D279" s="4"/>
      <c r="E279" s="4"/>
    </row>
    <row r="280" spans="4:5" x14ac:dyDescent="0.25">
      <c r="D280" s="4"/>
      <c r="E280" s="4"/>
    </row>
    <row r="281" spans="4:5" x14ac:dyDescent="0.25">
      <c r="D281" s="4"/>
      <c r="E281" s="4"/>
    </row>
    <row r="282" spans="4:5" x14ac:dyDescent="0.25">
      <c r="D282" s="4"/>
      <c r="E282" s="4"/>
    </row>
    <row r="283" spans="4:5" x14ac:dyDescent="0.25">
      <c r="D283" s="4"/>
      <c r="E283" s="4"/>
    </row>
    <row r="284" spans="4:5" x14ac:dyDescent="0.25">
      <c r="D284" s="4"/>
      <c r="E284" s="4"/>
    </row>
    <row r="285" spans="4:5" x14ac:dyDescent="0.25">
      <c r="D285" s="4"/>
      <c r="E285" s="4"/>
    </row>
    <row r="286" spans="4:5" x14ac:dyDescent="0.25">
      <c r="D286" s="4"/>
      <c r="E286" s="4"/>
    </row>
    <row r="287" spans="4:5" x14ac:dyDescent="0.25">
      <c r="D287" s="4"/>
      <c r="E287" s="4"/>
    </row>
    <row r="288" spans="4:5" x14ac:dyDescent="0.25">
      <c r="D288" s="4"/>
      <c r="E288" s="4"/>
    </row>
    <row r="289" spans="4:5" x14ac:dyDescent="0.25">
      <c r="D289" s="4"/>
      <c r="E289" s="4"/>
    </row>
    <row r="290" spans="4:5" x14ac:dyDescent="0.25">
      <c r="D290" s="4"/>
      <c r="E290" s="4"/>
    </row>
    <row r="291" spans="4:5" x14ac:dyDescent="0.25">
      <c r="D291" s="4"/>
      <c r="E291" s="4"/>
    </row>
    <row r="292" spans="4:5" x14ac:dyDescent="0.25">
      <c r="D292" s="4"/>
      <c r="E292" s="4"/>
    </row>
    <row r="293" spans="4:5" x14ac:dyDescent="0.25">
      <c r="D293" s="4"/>
      <c r="E293" s="4"/>
    </row>
    <row r="294" spans="4:5" x14ac:dyDescent="0.25">
      <c r="D294" s="4"/>
      <c r="E294" s="4"/>
    </row>
    <row r="295" spans="4:5" x14ac:dyDescent="0.25">
      <c r="D295" s="4"/>
      <c r="E295" s="4"/>
    </row>
    <row r="296" spans="4:5" x14ac:dyDescent="0.25">
      <c r="D296" s="4"/>
      <c r="E296" s="4"/>
    </row>
    <row r="297" spans="4:5" x14ac:dyDescent="0.25">
      <c r="D297" s="4"/>
      <c r="E297" s="4"/>
    </row>
    <row r="298" spans="4:5" x14ac:dyDescent="0.25">
      <c r="D298" s="4"/>
      <c r="E298" s="4"/>
    </row>
    <row r="299" spans="4:5" x14ac:dyDescent="0.25">
      <c r="D299" s="4"/>
      <c r="E299" s="4"/>
    </row>
    <row r="300" spans="4:5" x14ac:dyDescent="0.25">
      <c r="D300" s="4"/>
      <c r="E300" s="4"/>
    </row>
    <row r="301" spans="4:5" x14ac:dyDescent="0.25">
      <c r="D301" s="4"/>
      <c r="E301" s="4"/>
    </row>
    <row r="302" spans="4:5" x14ac:dyDescent="0.25">
      <c r="D302" s="4"/>
      <c r="E302" s="4"/>
    </row>
    <row r="303" spans="4:5" x14ac:dyDescent="0.25">
      <c r="D303" s="4"/>
      <c r="E303" s="4"/>
    </row>
    <row r="304" spans="4:5" x14ac:dyDescent="0.25">
      <c r="D304" s="4"/>
      <c r="E304" s="4"/>
    </row>
    <row r="305" spans="4:5" x14ac:dyDescent="0.25">
      <c r="D305" s="4"/>
      <c r="E305" s="4"/>
    </row>
    <row r="306" spans="4:5" x14ac:dyDescent="0.25">
      <c r="D306" s="4"/>
      <c r="E306" s="4"/>
    </row>
    <row r="307" spans="4:5" x14ac:dyDescent="0.25">
      <c r="D307" s="4"/>
      <c r="E307" s="4"/>
    </row>
    <row r="308" spans="4:5" x14ac:dyDescent="0.25">
      <c r="D308" s="4"/>
      <c r="E308" s="4"/>
    </row>
    <row r="309" spans="4:5" x14ac:dyDescent="0.25">
      <c r="D309" s="4"/>
      <c r="E309" s="4"/>
    </row>
    <row r="310" spans="4:5" x14ac:dyDescent="0.25">
      <c r="D310" s="4"/>
      <c r="E310" s="4"/>
    </row>
    <row r="311" spans="4:5" x14ac:dyDescent="0.25">
      <c r="D311" s="4"/>
      <c r="E311" s="4"/>
    </row>
    <row r="312" spans="4:5" x14ac:dyDescent="0.25">
      <c r="D312" s="4"/>
      <c r="E312" s="4"/>
    </row>
    <row r="313" spans="4:5" x14ac:dyDescent="0.25">
      <c r="D313" s="4"/>
      <c r="E313" s="4"/>
    </row>
    <row r="314" spans="4:5" x14ac:dyDescent="0.25">
      <c r="D314" s="4"/>
      <c r="E314" s="4"/>
    </row>
    <row r="315" spans="4:5" x14ac:dyDescent="0.25">
      <c r="D315" s="4"/>
      <c r="E315" s="4"/>
    </row>
    <row r="316" spans="4:5" x14ac:dyDescent="0.25">
      <c r="D316" s="4"/>
      <c r="E316" s="4"/>
    </row>
    <row r="317" spans="4:5" x14ac:dyDescent="0.25">
      <c r="D317" s="4"/>
      <c r="E317" s="4"/>
    </row>
    <row r="318" spans="4:5" x14ac:dyDescent="0.25">
      <c r="D318" s="4"/>
      <c r="E318" s="4"/>
    </row>
    <row r="319" spans="4:5" x14ac:dyDescent="0.25">
      <c r="D319" s="4"/>
      <c r="E319" s="4"/>
    </row>
    <row r="320" spans="4:5" x14ac:dyDescent="0.25">
      <c r="D320" s="4"/>
      <c r="E320" s="4"/>
    </row>
    <row r="321" spans="4:5" x14ac:dyDescent="0.25">
      <c r="D321" s="4"/>
      <c r="E321" s="4"/>
    </row>
    <row r="322" spans="4:5" x14ac:dyDescent="0.25">
      <c r="D322" s="4"/>
      <c r="E322" s="4"/>
    </row>
    <row r="323" spans="4:5" x14ac:dyDescent="0.25">
      <c r="D323" s="4"/>
      <c r="E323" s="4"/>
    </row>
    <row r="324" spans="4:5" x14ac:dyDescent="0.25">
      <c r="D324" s="4"/>
      <c r="E324" s="4"/>
    </row>
    <row r="325" spans="4:5" x14ac:dyDescent="0.25">
      <c r="D325" s="4"/>
      <c r="E325" s="4"/>
    </row>
    <row r="326" spans="4:5" x14ac:dyDescent="0.25">
      <c r="D326" s="4"/>
      <c r="E326" s="4"/>
    </row>
    <row r="327" spans="4:5" x14ac:dyDescent="0.25">
      <c r="D327" s="4"/>
      <c r="E327" s="4"/>
    </row>
    <row r="328" spans="4:5" x14ac:dyDescent="0.25">
      <c r="D328" s="4"/>
      <c r="E328" s="4"/>
    </row>
    <row r="329" spans="4:5" x14ac:dyDescent="0.25">
      <c r="D329" s="4"/>
      <c r="E329" s="4"/>
    </row>
    <row r="330" spans="4:5" x14ac:dyDescent="0.25">
      <c r="D330" s="4"/>
      <c r="E330" s="4"/>
    </row>
    <row r="331" spans="4:5" x14ac:dyDescent="0.25">
      <c r="D331" s="4"/>
      <c r="E331" s="4"/>
    </row>
    <row r="332" spans="4:5" x14ac:dyDescent="0.25">
      <c r="D332" s="4"/>
      <c r="E332" s="4"/>
    </row>
    <row r="333" spans="4:5" x14ac:dyDescent="0.25">
      <c r="D333" s="4"/>
      <c r="E333" s="4"/>
    </row>
    <row r="334" spans="4:5" x14ac:dyDescent="0.25">
      <c r="D334" s="4"/>
      <c r="E334" s="4"/>
    </row>
    <row r="335" spans="4:5" x14ac:dyDescent="0.25">
      <c r="D335" s="4"/>
      <c r="E335" s="4"/>
    </row>
    <row r="336" spans="4:5" x14ac:dyDescent="0.25">
      <c r="D336" s="4"/>
      <c r="E336" s="4"/>
    </row>
    <row r="337" spans="4:5" x14ac:dyDescent="0.25">
      <c r="D337" s="4"/>
      <c r="E337" s="4"/>
    </row>
    <row r="338" spans="4:5" x14ac:dyDescent="0.25">
      <c r="D338" s="4"/>
      <c r="E338" s="4"/>
    </row>
    <row r="339" spans="4:5" x14ac:dyDescent="0.25">
      <c r="D339" s="4"/>
      <c r="E339" s="4"/>
    </row>
    <row r="340" spans="4:5" x14ac:dyDescent="0.25">
      <c r="D340" s="4"/>
      <c r="E340" s="4"/>
    </row>
    <row r="341" spans="4:5" x14ac:dyDescent="0.25">
      <c r="D341" s="4"/>
      <c r="E341" s="4"/>
    </row>
    <row r="342" spans="4:5" x14ac:dyDescent="0.25">
      <c r="D342" s="4"/>
      <c r="E342" s="4"/>
    </row>
    <row r="343" spans="4:5" x14ac:dyDescent="0.25">
      <c r="D343" s="4"/>
      <c r="E343" s="4"/>
    </row>
    <row r="344" spans="4:5" x14ac:dyDescent="0.25">
      <c r="D344" s="4"/>
      <c r="E344" s="4"/>
    </row>
    <row r="345" spans="4:5" x14ac:dyDescent="0.25">
      <c r="D345" s="4"/>
      <c r="E345" s="4"/>
    </row>
    <row r="346" spans="4:5" x14ac:dyDescent="0.25">
      <c r="D346" s="4"/>
      <c r="E346" s="4"/>
    </row>
    <row r="347" spans="4:5" x14ac:dyDescent="0.25">
      <c r="D347" s="4"/>
      <c r="E347" s="4"/>
    </row>
    <row r="348" spans="4:5" x14ac:dyDescent="0.25">
      <c r="D348" s="4"/>
      <c r="E348" s="4"/>
    </row>
    <row r="349" spans="4:5" x14ac:dyDescent="0.25">
      <c r="D349" s="4"/>
      <c r="E349" s="4"/>
    </row>
    <row r="350" spans="4:5" x14ac:dyDescent="0.25">
      <c r="D350" s="4"/>
      <c r="E350" s="4"/>
    </row>
    <row r="351" spans="4:5" x14ac:dyDescent="0.25">
      <c r="D351" s="4"/>
      <c r="E351" s="4"/>
    </row>
    <row r="352" spans="4:5" x14ac:dyDescent="0.25">
      <c r="D352" s="4"/>
      <c r="E352" s="4"/>
    </row>
    <row r="353" spans="4:5" x14ac:dyDescent="0.25">
      <c r="D353" s="4"/>
      <c r="E353" s="4"/>
    </row>
    <row r="354" spans="4:5" x14ac:dyDescent="0.25">
      <c r="D354" s="4"/>
      <c r="E354" s="4"/>
    </row>
    <row r="355" spans="4:5" x14ac:dyDescent="0.25">
      <c r="D355" s="4"/>
      <c r="E355" s="4"/>
    </row>
    <row r="356" spans="4:5" x14ac:dyDescent="0.25">
      <c r="D356" s="4"/>
      <c r="E356" s="4"/>
    </row>
    <row r="357" spans="4:5" x14ac:dyDescent="0.25">
      <c r="D357" s="4"/>
      <c r="E357" s="4"/>
    </row>
    <row r="358" spans="4:5" x14ac:dyDescent="0.25">
      <c r="D358" s="4"/>
      <c r="E358" s="4"/>
    </row>
    <row r="359" spans="4:5" x14ac:dyDescent="0.25">
      <c r="D359" s="4"/>
      <c r="E359" s="4"/>
    </row>
    <row r="360" spans="4:5" x14ac:dyDescent="0.25">
      <c r="D360" s="4"/>
      <c r="E360" s="4"/>
    </row>
    <row r="361" spans="4:5" x14ac:dyDescent="0.25">
      <c r="D361" s="4"/>
      <c r="E361" s="4"/>
    </row>
    <row r="362" spans="4:5" x14ac:dyDescent="0.25">
      <c r="D362" s="4"/>
      <c r="E362" s="4"/>
    </row>
    <row r="363" spans="4:5" x14ac:dyDescent="0.25">
      <c r="D363" s="4"/>
      <c r="E363" s="4"/>
    </row>
    <row r="364" spans="4:5" x14ac:dyDescent="0.25">
      <c r="D364" s="4"/>
      <c r="E364" s="4"/>
    </row>
    <row r="365" spans="4:5" x14ac:dyDescent="0.25">
      <c r="D365" s="4"/>
      <c r="E365" s="4"/>
    </row>
    <row r="366" spans="4:5" x14ac:dyDescent="0.25">
      <c r="D366" s="4"/>
      <c r="E366" s="4"/>
    </row>
    <row r="367" spans="4:5" x14ac:dyDescent="0.25">
      <c r="D367" s="4"/>
      <c r="E367" s="4"/>
    </row>
    <row r="368" spans="4:5" x14ac:dyDescent="0.25">
      <c r="D368" s="4"/>
      <c r="E368" s="4"/>
    </row>
    <row r="369" spans="4:5" x14ac:dyDescent="0.25">
      <c r="D369" s="4"/>
      <c r="E369" s="4"/>
    </row>
    <row r="370" spans="4:5" x14ac:dyDescent="0.25">
      <c r="D370" s="4"/>
      <c r="E370" s="4"/>
    </row>
    <row r="371" spans="4:5" x14ac:dyDescent="0.25">
      <c r="D371" s="4"/>
      <c r="E371" s="4"/>
    </row>
    <row r="372" spans="4:5" x14ac:dyDescent="0.25">
      <c r="D372" s="4"/>
      <c r="E372" s="4"/>
    </row>
    <row r="373" spans="4:5" x14ac:dyDescent="0.25">
      <c r="D373" s="4"/>
      <c r="E373" s="4"/>
    </row>
    <row r="374" spans="4:5" x14ac:dyDescent="0.25">
      <c r="D374" s="4"/>
      <c r="E374" s="4"/>
    </row>
    <row r="375" spans="4:5" x14ac:dyDescent="0.25">
      <c r="D375" s="4"/>
      <c r="E375" s="4"/>
    </row>
    <row r="376" spans="4:5" x14ac:dyDescent="0.25">
      <c r="D376" s="4"/>
      <c r="E376" s="4"/>
    </row>
    <row r="377" spans="4:5" x14ac:dyDescent="0.25">
      <c r="D377" s="4"/>
      <c r="E377" s="4"/>
    </row>
    <row r="378" spans="4:5" x14ac:dyDescent="0.25">
      <c r="D378" s="4"/>
      <c r="E378" s="4"/>
    </row>
    <row r="379" spans="4:5" x14ac:dyDescent="0.25">
      <c r="D379" s="4"/>
      <c r="E379" s="4"/>
    </row>
    <row r="380" spans="4:5" x14ac:dyDescent="0.25">
      <c r="D380" s="4"/>
      <c r="E380" s="4"/>
    </row>
    <row r="381" spans="4:5" x14ac:dyDescent="0.25">
      <c r="D381" s="4"/>
      <c r="E381" s="4"/>
    </row>
    <row r="382" spans="4:5" x14ac:dyDescent="0.25">
      <c r="D382" s="4"/>
      <c r="E382" s="4"/>
    </row>
    <row r="383" spans="4:5" x14ac:dyDescent="0.25">
      <c r="D383" s="4"/>
      <c r="E383" s="4"/>
    </row>
    <row r="384" spans="4:5" x14ac:dyDescent="0.25">
      <c r="D384" s="4"/>
      <c r="E384" s="4"/>
    </row>
    <row r="385" spans="4:5" x14ac:dyDescent="0.25">
      <c r="D385" s="4"/>
      <c r="E385" s="4"/>
    </row>
    <row r="386" spans="4:5" x14ac:dyDescent="0.25">
      <c r="D386" s="4"/>
      <c r="E386" s="4"/>
    </row>
    <row r="387" spans="4:5" x14ac:dyDescent="0.25">
      <c r="D387" s="4"/>
      <c r="E387" s="4"/>
    </row>
    <row r="388" spans="4:5" x14ac:dyDescent="0.25">
      <c r="D388" s="4"/>
      <c r="E388" s="4"/>
    </row>
    <row r="389" spans="4:5" x14ac:dyDescent="0.25">
      <c r="D389" s="4"/>
      <c r="E389" s="4"/>
    </row>
    <row r="390" spans="4:5" x14ac:dyDescent="0.25">
      <c r="D390" s="4"/>
      <c r="E390" s="4"/>
    </row>
    <row r="391" spans="4:5" x14ac:dyDescent="0.25">
      <c r="D391" s="4"/>
      <c r="E391" s="4"/>
    </row>
    <row r="392" spans="4:5" x14ac:dyDescent="0.25">
      <c r="D392" s="4"/>
      <c r="E392" s="4"/>
    </row>
    <row r="393" spans="4:5" x14ac:dyDescent="0.25">
      <c r="D393" s="4"/>
      <c r="E393" s="4"/>
    </row>
    <row r="394" spans="4:5" x14ac:dyDescent="0.25">
      <c r="D394" s="4"/>
      <c r="E394" s="4"/>
    </row>
    <row r="395" spans="4:5" x14ac:dyDescent="0.25">
      <c r="D395" s="4"/>
      <c r="E395" s="4"/>
    </row>
    <row r="396" spans="4:5" x14ac:dyDescent="0.25">
      <c r="D396" s="4"/>
      <c r="E396" s="4"/>
    </row>
    <row r="397" spans="4:5" x14ac:dyDescent="0.25">
      <c r="D397" s="4"/>
      <c r="E397" s="4"/>
    </row>
    <row r="398" spans="4:5" x14ac:dyDescent="0.25">
      <c r="D398" s="4"/>
      <c r="E398" s="4"/>
    </row>
    <row r="399" spans="4:5" x14ac:dyDescent="0.25">
      <c r="D399" s="4"/>
      <c r="E399" s="4"/>
    </row>
    <row r="400" spans="4:5" x14ac:dyDescent="0.25">
      <c r="D400" s="4"/>
      <c r="E400" s="4"/>
    </row>
    <row r="401" spans="4:5" x14ac:dyDescent="0.25">
      <c r="D401" s="4"/>
      <c r="E401" s="4"/>
    </row>
    <row r="402" spans="4:5" x14ac:dyDescent="0.25">
      <c r="D402" s="4"/>
      <c r="E402" s="4"/>
    </row>
    <row r="403" spans="4:5" x14ac:dyDescent="0.25">
      <c r="D403" s="4"/>
      <c r="E403" s="4"/>
    </row>
    <row r="404" spans="4:5" x14ac:dyDescent="0.25">
      <c r="D404" s="4"/>
      <c r="E404" s="4"/>
    </row>
    <row r="405" spans="4:5" x14ac:dyDescent="0.25">
      <c r="D405" s="4"/>
      <c r="E405" s="4"/>
    </row>
    <row r="406" spans="4:5" x14ac:dyDescent="0.25">
      <c r="D406" s="4"/>
      <c r="E406" s="4"/>
    </row>
    <row r="407" spans="4:5" x14ac:dyDescent="0.25">
      <c r="D407" s="4"/>
      <c r="E407" s="4"/>
    </row>
    <row r="408" spans="4:5" x14ac:dyDescent="0.25">
      <c r="D408" s="4"/>
      <c r="E408" s="4"/>
    </row>
    <row r="409" spans="4:5" x14ac:dyDescent="0.25">
      <c r="D409" s="4"/>
      <c r="E409" s="4"/>
    </row>
    <row r="410" spans="4:5" x14ac:dyDescent="0.25">
      <c r="D410" s="4"/>
      <c r="E410" s="4"/>
    </row>
    <row r="411" spans="4:5" x14ac:dyDescent="0.25">
      <c r="D411" s="4"/>
      <c r="E411" s="4"/>
    </row>
    <row r="412" spans="4:5" x14ac:dyDescent="0.25">
      <c r="D412" s="4"/>
      <c r="E412" s="4"/>
    </row>
    <row r="413" spans="4:5" x14ac:dyDescent="0.25">
      <c r="D413" s="4"/>
      <c r="E413" s="4"/>
    </row>
    <row r="414" spans="4:5" x14ac:dyDescent="0.25">
      <c r="D414" s="4"/>
      <c r="E414" s="4"/>
    </row>
    <row r="415" spans="4:5" x14ac:dyDescent="0.25">
      <c r="D415" s="4"/>
      <c r="E415" s="4"/>
    </row>
    <row r="416" spans="4:5" x14ac:dyDescent="0.25">
      <c r="D416" s="4"/>
      <c r="E416" s="4"/>
    </row>
    <row r="417" spans="4:5" x14ac:dyDescent="0.25">
      <c r="D417" s="4"/>
      <c r="E417" s="4"/>
    </row>
    <row r="418" spans="4:5" x14ac:dyDescent="0.25">
      <c r="D418" s="4"/>
      <c r="E418" s="4"/>
    </row>
    <row r="419" spans="4:5" x14ac:dyDescent="0.25">
      <c r="D419" s="4"/>
      <c r="E419" s="4"/>
    </row>
    <row r="420" spans="4:5" x14ac:dyDescent="0.25">
      <c r="D420" s="4"/>
      <c r="E420" s="4"/>
    </row>
    <row r="421" spans="4:5" x14ac:dyDescent="0.25">
      <c r="D421" s="4"/>
      <c r="E421" s="4"/>
    </row>
    <row r="422" spans="4:5" x14ac:dyDescent="0.25">
      <c r="D422" s="4"/>
      <c r="E422" s="4"/>
    </row>
    <row r="423" spans="4:5" x14ac:dyDescent="0.25">
      <c r="D423" s="4"/>
      <c r="E423" s="4"/>
    </row>
    <row r="424" spans="4:5" x14ac:dyDescent="0.25">
      <c r="D424" s="4"/>
      <c r="E424" s="4"/>
    </row>
    <row r="425" spans="4:5" x14ac:dyDescent="0.25">
      <c r="D425" s="4"/>
      <c r="E425" s="4"/>
    </row>
    <row r="426" spans="4:5" x14ac:dyDescent="0.25">
      <c r="D426" s="4"/>
      <c r="E426" s="4"/>
    </row>
    <row r="427" spans="4:5" x14ac:dyDescent="0.25">
      <c r="D427" s="4"/>
      <c r="E427" s="4"/>
    </row>
    <row r="428" spans="4:5" x14ac:dyDescent="0.25">
      <c r="D428" s="4"/>
      <c r="E428" s="4"/>
    </row>
    <row r="429" spans="4:5" x14ac:dyDescent="0.25">
      <c r="D429" s="4"/>
      <c r="E429" s="4"/>
    </row>
    <row r="430" spans="4:5" x14ac:dyDescent="0.25">
      <c r="D430" s="4"/>
      <c r="E430" s="4"/>
    </row>
    <row r="431" spans="4:5" x14ac:dyDescent="0.25">
      <c r="D431" s="4"/>
      <c r="E431" s="4"/>
    </row>
    <row r="432" spans="4:5" x14ac:dyDescent="0.25">
      <c r="D432" s="4"/>
      <c r="E432" s="4"/>
    </row>
    <row r="433" spans="4:5" x14ac:dyDescent="0.25">
      <c r="D433" s="4"/>
      <c r="E433" s="4"/>
    </row>
    <row r="434" spans="4:5" x14ac:dyDescent="0.25">
      <c r="D434" s="4"/>
      <c r="E434" s="4"/>
    </row>
    <row r="435" spans="4:5" x14ac:dyDescent="0.25">
      <c r="D435" s="4"/>
      <c r="E435" s="4"/>
    </row>
    <row r="436" spans="4:5" x14ac:dyDescent="0.25">
      <c r="D436" s="4"/>
      <c r="E436" s="4"/>
    </row>
    <row r="437" spans="4:5" x14ac:dyDescent="0.25">
      <c r="D437" s="4"/>
      <c r="E437" s="4"/>
    </row>
    <row r="438" spans="4:5" x14ac:dyDescent="0.25">
      <c r="D438" s="4"/>
      <c r="E438" s="4"/>
    </row>
    <row r="439" spans="4:5" x14ac:dyDescent="0.25">
      <c r="D439" s="4"/>
      <c r="E439" s="4"/>
    </row>
    <row r="440" spans="4:5" x14ac:dyDescent="0.25">
      <c r="D440" s="4"/>
      <c r="E440" s="4"/>
    </row>
    <row r="441" spans="4:5" x14ac:dyDescent="0.25">
      <c r="D441" s="4"/>
      <c r="E441" s="4"/>
    </row>
    <row r="442" spans="4:5" x14ac:dyDescent="0.25">
      <c r="D442" s="4"/>
      <c r="E442" s="4"/>
    </row>
    <row r="443" spans="4:5" x14ac:dyDescent="0.25">
      <c r="D443" s="4"/>
      <c r="E443" s="4"/>
    </row>
    <row r="444" spans="4:5" x14ac:dyDescent="0.25">
      <c r="D444" s="4"/>
      <c r="E444" s="4"/>
    </row>
    <row r="445" spans="4:5" x14ac:dyDescent="0.25">
      <c r="D445" s="4"/>
      <c r="E445" s="4"/>
    </row>
    <row r="446" spans="4:5" x14ac:dyDescent="0.25">
      <c r="D446" s="4"/>
      <c r="E446" s="4"/>
    </row>
    <row r="447" spans="4:5" x14ac:dyDescent="0.25">
      <c r="D447" s="4"/>
      <c r="E447" s="4"/>
    </row>
    <row r="448" spans="4:5" x14ac:dyDescent="0.25">
      <c r="D448" s="4"/>
      <c r="E448" s="4"/>
    </row>
    <row r="449" spans="4:5" x14ac:dyDescent="0.25">
      <c r="D449" s="4"/>
      <c r="E449" s="4"/>
    </row>
    <row r="450" spans="4:5" x14ac:dyDescent="0.25">
      <c r="D450" s="4"/>
      <c r="E450" s="4"/>
    </row>
    <row r="451" spans="4:5" x14ac:dyDescent="0.25">
      <c r="D451" s="4"/>
      <c r="E451" s="4"/>
    </row>
    <row r="452" spans="4:5" x14ac:dyDescent="0.25">
      <c r="D452" s="4"/>
      <c r="E452" s="4"/>
    </row>
    <row r="453" spans="4:5" x14ac:dyDescent="0.25">
      <c r="D453" s="4"/>
      <c r="E453" s="4"/>
    </row>
    <row r="454" spans="4:5" x14ac:dyDescent="0.25">
      <c r="D454" s="4"/>
      <c r="E454" s="4"/>
    </row>
    <row r="455" spans="4:5" x14ac:dyDescent="0.25">
      <c r="D455" s="4"/>
      <c r="E455" s="4"/>
    </row>
    <row r="456" spans="4:5" x14ac:dyDescent="0.25">
      <c r="D456" s="4"/>
      <c r="E456" s="4"/>
    </row>
    <row r="457" spans="4:5" x14ac:dyDescent="0.25">
      <c r="D457" s="4"/>
      <c r="E457" s="4"/>
    </row>
    <row r="458" spans="4:5" x14ac:dyDescent="0.25">
      <c r="D458" s="4"/>
      <c r="E458" s="4"/>
    </row>
    <row r="459" spans="4:5" x14ac:dyDescent="0.25">
      <c r="D459" s="4"/>
      <c r="E459" s="4"/>
    </row>
    <row r="460" spans="4:5" x14ac:dyDescent="0.25">
      <c r="D460" s="4"/>
      <c r="E460" s="4"/>
    </row>
    <row r="461" spans="4:5" x14ac:dyDescent="0.25">
      <c r="D461" s="4"/>
      <c r="E461" s="4"/>
    </row>
    <row r="462" spans="4:5" x14ac:dyDescent="0.25">
      <c r="D462" s="4"/>
      <c r="E462" s="4"/>
    </row>
    <row r="463" spans="4:5" x14ac:dyDescent="0.25">
      <c r="D463" s="4"/>
      <c r="E463" s="4"/>
    </row>
    <row r="464" spans="4:5" x14ac:dyDescent="0.25">
      <c r="D464" s="4"/>
      <c r="E464" s="4"/>
    </row>
    <row r="465" spans="4:5" x14ac:dyDescent="0.25">
      <c r="D465" s="4"/>
      <c r="E465" s="4"/>
    </row>
    <row r="466" spans="4:5" x14ac:dyDescent="0.25">
      <c r="D466" s="4"/>
      <c r="E466" s="4"/>
    </row>
    <row r="467" spans="4:5" x14ac:dyDescent="0.25">
      <c r="D467" s="4"/>
      <c r="E467" s="4"/>
    </row>
    <row r="468" spans="4:5" x14ac:dyDescent="0.25">
      <c r="D468" s="4"/>
      <c r="E468" s="4"/>
    </row>
    <row r="469" spans="4:5" x14ac:dyDescent="0.25">
      <c r="D469" s="4"/>
      <c r="E469" s="4"/>
    </row>
    <row r="470" spans="4:5" x14ac:dyDescent="0.25">
      <c r="D470" s="4"/>
      <c r="E470" s="4"/>
    </row>
    <row r="471" spans="4:5" x14ac:dyDescent="0.25">
      <c r="D471" s="4"/>
      <c r="E471" s="4"/>
    </row>
    <row r="472" spans="4:5" x14ac:dyDescent="0.25">
      <c r="D472" s="4"/>
      <c r="E472" s="4"/>
    </row>
    <row r="473" spans="4:5" x14ac:dyDescent="0.25">
      <c r="D473" s="4"/>
      <c r="E473" s="4"/>
    </row>
    <row r="474" spans="4:5" x14ac:dyDescent="0.25">
      <c r="D474" s="4"/>
      <c r="E474" s="4"/>
    </row>
    <row r="475" spans="4:5" x14ac:dyDescent="0.25">
      <c r="D475" s="4"/>
      <c r="E475" s="4"/>
    </row>
    <row r="476" spans="4:5" x14ac:dyDescent="0.25">
      <c r="D476" s="4"/>
      <c r="E476" s="4"/>
    </row>
    <row r="477" spans="4:5" x14ac:dyDescent="0.25">
      <c r="D477" s="4"/>
      <c r="E477" s="4"/>
    </row>
    <row r="478" spans="4:5" x14ac:dyDescent="0.25">
      <c r="D478" s="4"/>
      <c r="E478" s="4"/>
    </row>
    <row r="479" spans="4:5" x14ac:dyDescent="0.25">
      <c r="D479" s="4"/>
      <c r="E479" s="4"/>
    </row>
    <row r="480" spans="4:5" x14ac:dyDescent="0.25">
      <c r="D480" s="4"/>
      <c r="E480" s="4"/>
    </row>
    <row r="481" spans="4:5" x14ac:dyDescent="0.25">
      <c r="D481" s="4"/>
      <c r="E481" s="4"/>
    </row>
    <row r="482" spans="4:5" x14ac:dyDescent="0.25">
      <c r="D482" s="4"/>
      <c r="E482" s="4"/>
    </row>
    <row r="483" spans="4:5" x14ac:dyDescent="0.25">
      <c r="D483" s="4"/>
      <c r="E483" s="4"/>
    </row>
    <row r="484" spans="4:5" x14ac:dyDescent="0.25">
      <c r="D484" s="4"/>
      <c r="E484" s="4"/>
    </row>
    <row r="485" spans="4:5" x14ac:dyDescent="0.25">
      <c r="D485" s="4"/>
      <c r="E485" s="4"/>
    </row>
    <row r="486" spans="4:5" x14ac:dyDescent="0.25">
      <c r="D486" s="4"/>
      <c r="E486" s="4"/>
    </row>
    <row r="487" spans="4:5" x14ac:dyDescent="0.25">
      <c r="D487" s="4"/>
      <c r="E487" s="4"/>
    </row>
    <row r="488" spans="4:5" x14ac:dyDescent="0.25">
      <c r="D488" s="4"/>
      <c r="E488" s="4"/>
    </row>
    <row r="489" spans="4:5" x14ac:dyDescent="0.25">
      <c r="D489" s="4"/>
      <c r="E489" s="4"/>
    </row>
    <row r="490" spans="4:5" x14ac:dyDescent="0.25">
      <c r="D490" s="4"/>
      <c r="E490" s="4"/>
    </row>
    <row r="491" spans="4:5" x14ac:dyDescent="0.25">
      <c r="D491" s="4"/>
      <c r="E491" s="4"/>
    </row>
    <row r="492" spans="4:5" x14ac:dyDescent="0.25">
      <c r="D492" s="4"/>
      <c r="E492" s="4"/>
    </row>
    <row r="493" spans="4:5" x14ac:dyDescent="0.25">
      <c r="D493" s="4"/>
      <c r="E493" s="4"/>
    </row>
    <row r="494" spans="4:5" x14ac:dyDescent="0.25">
      <c r="D494" s="4"/>
      <c r="E494" s="4"/>
    </row>
    <row r="495" spans="4:5" x14ac:dyDescent="0.25">
      <c r="D495" s="4"/>
      <c r="E495" s="4"/>
    </row>
    <row r="496" spans="4:5" x14ac:dyDescent="0.25">
      <c r="D496" s="4"/>
      <c r="E496" s="4"/>
    </row>
    <row r="497" spans="4:5" x14ac:dyDescent="0.25">
      <c r="D497" s="4"/>
      <c r="E497" s="4"/>
    </row>
    <row r="498" spans="4:5" x14ac:dyDescent="0.25">
      <c r="D498" s="4"/>
      <c r="E498" s="4"/>
    </row>
    <row r="499" spans="4:5" x14ac:dyDescent="0.25">
      <c r="D499" s="4"/>
      <c r="E499" s="4"/>
    </row>
    <row r="500" spans="4:5" x14ac:dyDescent="0.25">
      <c r="D500" s="4"/>
      <c r="E500" s="4"/>
    </row>
    <row r="501" spans="4:5" x14ac:dyDescent="0.25">
      <c r="D501" s="4"/>
      <c r="E501" s="4"/>
    </row>
    <row r="502" spans="4:5" x14ac:dyDescent="0.25">
      <c r="D502" s="4"/>
      <c r="E502" s="4"/>
    </row>
    <row r="503" spans="4:5" x14ac:dyDescent="0.25">
      <c r="D503" s="4"/>
      <c r="E503" s="4"/>
    </row>
    <row r="504" spans="4:5" x14ac:dyDescent="0.25">
      <c r="D504" s="4"/>
      <c r="E504" s="4"/>
    </row>
    <row r="505" spans="4:5" x14ac:dyDescent="0.25">
      <c r="D505" s="4"/>
      <c r="E505" s="4"/>
    </row>
    <row r="506" spans="4:5" x14ac:dyDescent="0.25">
      <c r="D506" s="4"/>
      <c r="E506" s="4"/>
    </row>
    <row r="507" spans="4:5" x14ac:dyDescent="0.25">
      <c r="D507" s="4"/>
      <c r="E507" s="4"/>
    </row>
    <row r="508" spans="4:5" x14ac:dyDescent="0.25">
      <c r="D508" s="4"/>
      <c r="E508" s="4"/>
    </row>
    <row r="509" spans="4:5" x14ac:dyDescent="0.25">
      <c r="D509" s="4"/>
      <c r="E509" s="4"/>
    </row>
    <row r="510" spans="4:5" x14ac:dyDescent="0.25">
      <c r="D510" s="4"/>
      <c r="E510" s="4"/>
    </row>
    <row r="511" spans="4:5" x14ac:dyDescent="0.25">
      <c r="D511" s="4"/>
      <c r="E511" s="4"/>
    </row>
    <row r="512" spans="4:5" x14ac:dyDescent="0.25">
      <c r="D512" s="4"/>
      <c r="E512" s="4"/>
    </row>
    <row r="513" spans="4:5" x14ac:dyDescent="0.25">
      <c r="D513" s="4"/>
      <c r="E513" s="4"/>
    </row>
    <row r="514" spans="4:5" x14ac:dyDescent="0.25">
      <c r="D514" s="4"/>
      <c r="E514" s="4"/>
    </row>
    <row r="515" spans="4:5" x14ac:dyDescent="0.25">
      <c r="D515" s="4"/>
      <c r="E515" s="4"/>
    </row>
    <row r="516" spans="4:5" x14ac:dyDescent="0.25">
      <c r="D516" s="4"/>
      <c r="E516" s="4"/>
    </row>
    <row r="517" spans="4:5" x14ac:dyDescent="0.25">
      <c r="D517" s="4"/>
      <c r="E517" s="4"/>
    </row>
    <row r="518" spans="4:5" x14ac:dyDescent="0.25">
      <c r="D518" s="4"/>
      <c r="E518" s="4"/>
    </row>
    <row r="519" spans="4:5" x14ac:dyDescent="0.25">
      <c r="D519" s="4"/>
      <c r="E519" s="4"/>
    </row>
    <row r="520" spans="4:5" x14ac:dyDescent="0.25">
      <c r="D520" s="4"/>
      <c r="E520" s="4"/>
    </row>
    <row r="521" spans="4:5" x14ac:dyDescent="0.25">
      <c r="D521" s="4"/>
      <c r="E521" s="4"/>
    </row>
    <row r="522" spans="4:5" x14ac:dyDescent="0.25">
      <c r="D522" s="4"/>
      <c r="E522" s="4"/>
    </row>
    <row r="523" spans="4:5" x14ac:dyDescent="0.25">
      <c r="D523" s="4"/>
      <c r="E523" s="4"/>
    </row>
    <row r="524" spans="4:5" x14ac:dyDescent="0.25">
      <c r="D524" s="4"/>
      <c r="E524" s="4"/>
    </row>
    <row r="525" spans="4:5" x14ac:dyDescent="0.25">
      <c r="D525" s="4"/>
      <c r="E525" s="4"/>
    </row>
    <row r="526" spans="4:5" x14ac:dyDescent="0.25">
      <c r="D526" s="4"/>
      <c r="E526" s="4"/>
    </row>
    <row r="527" spans="4:5" x14ac:dyDescent="0.25">
      <c r="D527" s="4"/>
      <c r="E527" s="4"/>
    </row>
    <row r="528" spans="4:5" x14ac:dyDescent="0.25">
      <c r="D528" s="4"/>
      <c r="E528" s="4"/>
    </row>
    <row r="529" spans="4:5" x14ac:dyDescent="0.25">
      <c r="D529" s="4"/>
      <c r="E529" s="4"/>
    </row>
    <row r="530" spans="4:5" x14ac:dyDescent="0.25">
      <c r="D530" s="4"/>
      <c r="E530" s="4"/>
    </row>
    <row r="531" spans="4:5" x14ac:dyDescent="0.25">
      <c r="D531" s="4"/>
      <c r="E531" s="4"/>
    </row>
    <row r="532" spans="4:5" x14ac:dyDescent="0.25">
      <c r="D532" s="4"/>
      <c r="E532" s="4"/>
    </row>
    <row r="533" spans="4:5" x14ac:dyDescent="0.25">
      <c r="D533" s="4"/>
      <c r="E533" s="4"/>
    </row>
    <row r="534" spans="4:5" x14ac:dyDescent="0.25">
      <c r="D534" s="4"/>
      <c r="E534" s="4"/>
    </row>
    <row r="535" spans="4:5" x14ac:dyDescent="0.25">
      <c r="D535" s="4"/>
      <c r="E535" s="4"/>
    </row>
    <row r="536" spans="4:5" x14ac:dyDescent="0.25">
      <c r="D536" s="4"/>
      <c r="E536" s="4"/>
    </row>
    <row r="537" spans="4:5" x14ac:dyDescent="0.25">
      <c r="D537" s="4"/>
      <c r="E537" s="4"/>
    </row>
    <row r="538" spans="4:5" x14ac:dyDescent="0.25">
      <c r="D538" s="4"/>
      <c r="E538" s="4"/>
    </row>
    <row r="539" spans="4:5" x14ac:dyDescent="0.25">
      <c r="D539" s="4"/>
      <c r="E539" s="4"/>
    </row>
    <row r="540" spans="4:5" x14ac:dyDescent="0.25">
      <c r="D540" s="4"/>
      <c r="E540" s="4"/>
    </row>
    <row r="541" spans="4:5" x14ac:dyDescent="0.25">
      <c r="D541" s="4"/>
      <c r="E541" s="4"/>
    </row>
    <row r="542" spans="4:5" x14ac:dyDescent="0.25">
      <c r="D542" s="4"/>
      <c r="E542" s="4"/>
    </row>
    <row r="543" spans="4:5" x14ac:dyDescent="0.25">
      <c r="D543" s="4"/>
      <c r="E543" s="4"/>
    </row>
    <row r="544" spans="4:5" x14ac:dyDescent="0.25">
      <c r="D544" s="4"/>
      <c r="E544" s="4"/>
    </row>
    <row r="545" spans="4:5" x14ac:dyDescent="0.25">
      <c r="D545" s="4"/>
      <c r="E545" s="4"/>
    </row>
    <row r="546" spans="4:5" x14ac:dyDescent="0.25">
      <c r="D546" s="4"/>
      <c r="E546" s="4"/>
    </row>
    <row r="547" spans="4:5" x14ac:dyDescent="0.25">
      <c r="D547" s="4"/>
      <c r="E547" s="4"/>
    </row>
    <row r="548" spans="4:5" x14ac:dyDescent="0.25">
      <c r="D548" s="4"/>
      <c r="E548" s="4"/>
    </row>
    <row r="549" spans="4:5" x14ac:dyDescent="0.25">
      <c r="D549" s="4"/>
      <c r="E549" s="4"/>
    </row>
    <row r="550" spans="4:5" x14ac:dyDescent="0.25">
      <c r="D550" s="4"/>
      <c r="E550" s="4"/>
    </row>
    <row r="551" spans="4:5" x14ac:dyDescent="0.25">
      <c r="D551" s="4"/>
      <c r="E551" s="4"/>
    </row>
    <row r="552" spans="4:5" x14ac:dyDescent="0.25">
      <c r="D552" s="4"/>
      <c r="E552" s="4"/>
    </row>
    <row r="553" spans="4:5" x14ac:dyDescent="0.25">
      <c r="D553" s="4"/>
      <c r="E553" s="4"/>
    </row>
    <row r="554" spans="4:5" x14ac:dyDescent="0.25">
      <c r="D554" s="4"/>
      <c r="E554" s="4"/>
    </row>
    <row r="555" spans="4:5" x14ac:dyDescent="0.25">
      <c r="D555" s="4"/>
      <c r="E555" s="4"/>
    </row>
    <row r="556" spans="4:5" x14ac:dyDescent="0.25">
      <c r="D556" s="4"/>
      <c r="E556" s="4"/>
    </row>
    <row r="557" spans="4:5" x14ac:dyDescent="0.25">
      <c r="D557" s="4"/>
      <c r="E557" s="4"/>
    </row>
    <row r="558" spans="4:5" x14ac:dyDescent="0.25">
      <c r="D558" s="4"/>
      <c r="E558" s="4"/>
    </row>
    <row r="559" spans="4:5" x14ac:dyDescent="0.25">
      <c r="D559" s="4"/>
      <c r="E559" s="4"/>
    </row>
    <row r="560" spans="4:5" x14ac:dyDescent="0.25">
      <c r="D560" s="4"/>
      <c r="E560" s="4"/>
    </row>
    <row r="561" spans="4:5" x14ac:dyDescent="0.25">
      <c r="D561" s="4"/>
      <c r="E561" s="4"/>
    </row>
    <row r="562" spans="4:5" x14ac:dyDescent="0.25">
      <c r="D562" s="4"/>
      <c r="E562" s="4"/>
    </row>
    <row r="563" spans="4:5" x14ac:dyDescent="0.25">
      <c r="D563" s="4"/>
      <c r="E563" s="4"/>
    </row>
    <row r="564" spans="4:5" x14ac:dyDescent="0.25">
      <c r="D564" s="4"/>
      <c r="E564" s="4"/>
    </row>
    <row r="565" spans="4:5" x14ac:dyDescent="0.25">
      <c r="D565" s="4"/>
      <c r="E565" s="4"/>
    </row>
    <row r="566" spans="4:5" x14ac:dyDescent="0.25">
      <c r="D566" s="4"/>
      <c r="E566" s="4"/>
    </row>
    <row r="567" spans="4:5" x14ac:dyDescent="0.25">
      <c r="D567" s="4"/>
      <c r="E567" s="4"/>
    </row>
    <row r="568" spans="4:5" x14ac:dyDescent="0.25">
      <c r="D568" s="4"/>
      <c r="E568" s="4"/>
    </row>
    <row r="569" spans="4:5" x14ac:dyDescent="0.25">
      <c r="D569" s="4"/>
      <c r="E569" s="4"/>
    </row>
    <row r="570" spans="4:5" x14ac:dyDescent="0.25">
      <c r="D570" s="4"/>
      <c r="E570" s="4"/>
    </row>
    <row r="571" spans="4:5" x14ac:dyDescent="0.25">
      <c r="D571" s="4"/>
      <c r="E571" s="4"/>
    </row>
    <row r="572" spans="4:5" x14ac:dyDescent="0.25">
      <c r="D572" s="4"/>
      <c r="E572" s="4"/>
    </row>
    <row r="573" spans="4:5" x14ac:dyDescent="0.25">
      <c r="D573" s="4"/>
      <c r="E573" s="4"/>
    </row>
    <row r="574" spans="4:5" x14ac:dyDescent="0.25">
      <c r="D574" s="4"/>
      <c r="E574" s="4"/>
    </row>
    <row r="575" spans="4:5" x14ac:dyDescent="0.25">
      <c r="D575" s="4"/>
      <c r="E575" s="4"/>
    </row>
    <row r="576" spans="4:5" x14ac:dyDescent="0.25">
      <c r="D576" s="4"/>
      <c r="E576" s="4"/>
    </row>
    <row r="577" spans="4:5" x14ac:dyDescent="0.25">
      <c r="D577" s="4"/>
      <c r="E577" s="4"/>
    </row>
    <row r="578" spans="4:5" x14ac:dyDescent="0.25">
      <c r="D578" s="4"/>
      <c r="E578" s="4"/>
    </row>
    <row r="579" spans="4:5" x14ac:dyDescent="0.25">
      <c r="D579" s="4"/>
      <c r="E579" s="4"/>
    </row>
    <row r="580" spans="4:5" x14ac:dyDescent="0.25">
      <c r="D580" s="4"/>
      <c r="E580" s="4"/>
    </row>
    <row r="581" spans="4:5" x14ac:dyDescent="0.25">
      <c r="D581" s="4"/>
      <c r="E581" s="4"/>
    </row>
    <row r="582" spans="4:5" x14ac:dyDescent="0.25">
      <c r="D582" s="4"/>
      <c r="E582" s="4"/>
    </row>
    <row r="583" spans="4:5" x14ac:dyDescent="0.25">
      <c r="D583" s="4"/>
      <c r="E583" s="4"/>
    </row>
    <row r="584" spans="4:5" x14ac:dyDescent="0.25">
      <c r="D584" s="4"/>
      <c r="E584" s="4"/>
    </row>
    <row r="585" spans="4:5" x14ac:dyDescent="0.25">
      <c r="D585" s="4"/>
      <c r="E585" s="4"/>
    </row>
    <row r="586" spans="4:5" x14ac:dyDescent="0.25">
      <c r="D586" s="4"/>
      <c r="E586" s="4"/>
    </row>
    <row r="587" spans="4:5" x14ac:dyDescent="0.25">
      <c r="D587" s="4"/>
      <c r="E587" s="4"/>
    </row>
    <row r="588" spans="4:5" x14ac:dyDescent="0.25">
      <c r="D588" s="4"/>
      <c r="E588" s="4"/>
    </row>
    <row r="589" spans="4:5" x14ac:dyDescent="0.25">
      <c r="D589" s="4"/>
      <c r="E589" s="4"/>
    </row>
    <row r="590" spans="4:5" x14ac:dyDescent="0.25">
      <c r="D590" s="4"/>
      <c r="E590" s="4"/>
    </row>
    <row r="591" spans="4:5" x14ac:dyDescent="0.25">
      <c r="D591" s="4"/>
      <c r="E591" s="4"/>
    </row>
    <row r="592" spans="4:5" x14ac:dyDescent="0.25">
      <c r="D592" s="4"/>
      <c r="E592" s="4"/>
    </row>
    <row r="593" spans="4:5" x14ac:dyDescent="0.25">
      <c r="D593" s="4"/>
      <c r="E593" s="4"/>
    </row>
    <row r="594" spans="4:5" x14ac:dyDescent="0.25">
      <c r="D594" s="4"/>
      <c r="E594" s="4"/>
    </row>
    <row r="595" spans="4:5" x14ac:dyDescent="0.25">
      <c r="D595" s="4"/>
      <c r="E595" s="4"/>
    </row>
    <row r="596" spans="4:5" x14ac:dyDescent="0.25">
      <c r="D596" s="4"/>
      <c r="E596" s="4"/>
    </row>
    <row r="597" spans="4:5" x14ac:dyDescent="0.25">
      <c r="D597" s="4"/>
      <c r="E597" s="4"/>
    </row>
    <row r="598" spans="4:5" x14ac:dyDescent="0.25">
      <c r="D598" s="4"/>
      <c r="E598" s="4"/>
    </row>
    <row r="599" spans="4:5" x14ac:dyDescent="0.25">
      <c r="D599" s="4"/>
      <c r="E599" s="4"/>
    </row>
    <row r="600" spans="4:5" x14ac:dyDescent="0.25">
      <c r="D600" s="4"/>
      <c r="E600" s="4"/>
    </row>
    <row r="601" spans="4:5" x14ac:dyDescent="0.25">
      <c r="D601" s="4"/>
      <c r="E601" s="4"/>
    </row>
    <row r="602" spans="4:5" x14ac:dyDescent="0.25">
      <c r="D602" s="4"/>
      <c r="E602" s="4"/>
    </row>
    <row r="603" spans="4:5" x14ac:dyDescent="0.25">
      <c r="D603" s="4"/>
      <c r="E603" s="4"/>
    </row>
    <row r="604" spans="4:5" x14ac:dyDescent="0.25">
      <c r="D604" s="4"/>
      <c r="E604" s="4"/>
    </row>
    <row r="605" spans="4:5" x14ac:dyDescent="0.25">
      <c r="D605" s="4"/>
      <c r="E605" s="4"/>
    </row>
    <row r="606" spans="4:5" x14ac:dyDescent="0.25">
      <c r="D606" s="4"/>
      <c r="E606" s="4"/>
    </row>
    <row r="607" spans="4:5" x14ac:dyDescent="0.25">
      <c r="D607" s="4"/>
      <c r="E607" s="4"/>
    </row>
    <row r="608" spans="4:5" x14ac:dyDescent="0.25">
      <c r="D608" s="4"/>
      <c r="E608" s="4"/>
    </row>
    <row r="609" spans="4:5" x14ac:dyDescent="0.25">
      <c r="D609" s="4"/>
      <c r="E609" s="4"/>
    </row>
    <row r="610" spans="4:5" x14ac:dyDescent="0.25">
      <c r="D610" s="4"/>
      <c r="E610" s="4"/>
    </row>
    <row r="611" spans="4:5" x14ac:dyDescent="0.25">
      <c r="D611" s="4"/>
      <c r="E611" s="4"/>
    </row>
    <row r="612" spans="4:5" x14ac:dyDescent="0.25">
      <c r="D612" s="4"/>
      <c r="E612" s="4"/>
    </row>
    <row r="613" spans="4:5" x14ac:dyDescent="0.25">
      <c r="D613" s="4"/>
      <c r="E613" s="4"/>
    </row>
    <row r="614" spans="4:5" x14ac:dyDescent="0.25">
      <c r="D614" s="4"/>
      <c r="E614" s="4"/>
    </row>
    <row r="615" spans="4:5" x14ac:dyDescent="0.25">
      <c r="D615" s="4"/>
      <c r="E615" s="4"/>
    </row>
    <row r="616" spans="4:5" x14ac:dyDescent="0.25">
      <c r="D616" s="4"/>
      <c r="E616" s="4"/>
    </row>
    <row r="617" spans="4:5" x14ac:dyDescent="0.25">
      <c r="D617" s="4"/>
      <c r="E617" s="4"/>
    </row>
    <row r="618" spans="4:5" x14ac:dyDescent="0.25">
      <c r="D618" s="4"/>
      <c r="E618" s="4"/>
    </row>
    <row r="619" spans="4:5" x14ac:dyDescent="0.25">
      <c r="D619" s="4"/>
      <c r="E619" s="4"/>
    </row>
    <row r="620" spans="4:5" x14ac:dyDescent="0.25">
      <c r="D620" s="4"/>
      <c r="E620" s="4"/>
    </row>
    <row r="621" spans="4:5" x14ac:dyDescent="0.25">
      <c r="D621" s="4"/>
      <c r="E621" s="4"/>
    </row>
    <row r="622" spans="4:5" x14ac:dyDescent="0.25">
      <c r="D622" s="4"/>
      <c r="E622" s="4"/>
    </row>
    <row r="623" spans="4:5" x14ac:dyDescent="0.25">
      <c r="D623" s="4"/>
      <c r="E623" s="4"/>
    </row>
    <row r="624" spans="4:5" x14ac:dyDescent="0.25">
      <c r="D624" s="4"/>
      <c r="E624" s="4"/>
    </row>
    <row r="625" spans="4:5" x14ac:dyDescent="0.25">
      <c r="D625" s="4"/>
      <c r="E625" s="4"/>
    </row>
    <row r="626" spans="4:5" x14ac:dyDescent="0.25">
      <c r="D626" s="4"/>
      <c r="E626" s="4"/>
    </row>
    <row r="627" spans="4:5" x14ac:dyDescent="0.25">
      <c r="D627" s="4"/>
      <c r="E627" s="4"/>
    </row>
    <row r="628" spans="4:5" x14ac:dyDescent="0.25">
      <c r="D628" s="4"/>
      <c r="E628" s="4"/>
    </row>
    <row r="629" spans="4:5" x14ac:dyDescent="0.25">
      <c r="D629" s="4"/>
      <c r="E629" s="4"/>
    </row>
    <row r="630" spans="4:5" x14ac:dyDescent="0.25">
      <c r="D630" s="4"/>
      <c r="E630" s="4"/>
    </row>
    <row r="631" spans="4:5" x14ac:dyDescent="0.25">
      <c r="D631" s="4"/>
      <c r="E631" s="4"/>
    </row>
    <row r="632" spans="4:5" x14ac:dyDescent="0.25">
      <c r="D632" s="4"/>
      <c r="E632" s="4"/>
    </row>
    <row r="633" spans="4:5" x14ac:dyDescent="0.25">
      <c r="D633" s="4"/>
      <c r="E633" s="4"/>
    </row>
    <row r="634" spans="4:5" x14ac:dyDescent="0.25">
      <c r="D634" s="4"/>
      <c r="E634" s="4"/>
    </row>
    <row r="635" spans="4:5" x14ac:dyDescent="0.25">
      <c r="D635" s="4"/>
      <c r="E635" s="4"/>
    </row>
    <row r="636" spans="4:5" x14ac:dyDescent="0.25">
      <c r="D636" s="4"/>
      <c r="E636" s="4"/>
    </row>
    <row r="637" spans="4:5" x14ac:dyDescent="0.25">
      <c r="D637" s="4"/>
      <c r="E637" s="4"/>
    </row>
    <row r="638" spans="4:5" x14ac:dyDescent="0.25">
      <c r="D638" s="4"/>
      <c r="E638" s="4"/>
    </row>
    <row r="639" spans="4:5" x14ac:dyDescent="0.25">
      <c r="D639" s="4"/>
      <c r="E639" s="4"/>
    </row>
    <row r="640" spans="4:5" x14ac:dyDescent="0.25">
      <c r="D640" s="4"/>
      <c r="E640" s="4"/>
    </row>
    <row r="641" spans="4:5" x14ac:dyDescent="0.25">
      <c r="D641" s="4"/>
      <c r="E641" s="4"/>
    </row>
    <row r="642" spans="4:5" x14ac:dyDescent="0.25">
      <c r="D642" s="4"/>
      <c r="E642" s="4"/>
    </row>
    <row r="643" spans="4:5" x14ac:dyDescent="0.25">
      <c r="D643" s="4"/>
      <c r="E643" s="4"/>
    </row>
    <row r="644" spans="4:5" x14ac:dyDescent="0.25">
      <c r="D644" s="4"/>
      <c r="E644" s="4"/>
    </row>
    <row r="645" spans="4:5" x14ac:dyDescent="0.25">
      <c r="D645" s="4"/>
      <c r="E645" s="4"/>
    </row>
    <row r="646" spans="4:5" x14ac:dyDescent="0.25">
      <c r="D646" s="4"/>
      <c r="E646" s="4"/>
    </row>
    <row r="647" spans="4:5" x14ac:dyDescent="0.25">
      <c r="D647" s="4"/>
      <c r="E647" s="4"/>
    </row>
    <row r="648" spans="4:5" x14ac:dyDescent="0.25">
      <c r="D648" s="4"/>
      <c r="E648" s="4"/>
    </row>
    <row r="649" spans="4:5" x14ac:dyDescent="0.25">
      <c r="D649" s="4"/>
      <c r="E649" s="4"/>
    </row>
    <row r="650" spans="4:5" x14ac:dyDescent="0.25">
      <c r="D650" s="4"/>
      <c r="E650" s="4"/>
    </row>
    <row r="651" spans="4:5" x14ac:dyDescent="0.25">
      <c r="D651" s="4"/>
      <c r="E651" s="4"/>
    </row>
    <row r="652" spans="4:5" x14ac:dyDescent="0.25">
      <c r="D652" s="4"/>
      <c r="E652" s="4"/>
    </row>
    <row r="653" spans="4:5" x14ac:dyDescent="0.25">
      <c r="D653" s="4"/>
      <c r="E653" s="4"/>
    </row>
    <row r="654" spans="4:5" x14ac:dyDescent="0.25">
      <c r="D654" s="4"/>
      <c r="E654" s="4"/>
    </row>
    <row r="655" spans="4:5" x14ac:dyDescent="0.25">
      <c r="D655" s="4"/>
      <c r="E655" s="4"/>
    </row>
    <row r="656" spans="4:5" x14ac:dyDescent="0.25">
      <c r="D656" s="4"/>
      <c r="E656" s="4"/>
    </row>
    <row r="657" spans="4:5" x14ac:dyDescent="0.25">
      <c r="D657" s="4"/>
      <c r="E657" s="4"/>
    </row>
    <row r="658" spans="4:5" x14ac:dyDescent="0.25">
      <c r="D658" s="4"/>
      <c r="E658" s="4"/>
    </row>
    <row r="659" spans="4:5" x14ac:dyDescent="0.25">
      <c r="D659" s="4"/>
      <c r="E659" s="4"/>
    </row>
    <row r="660" spans="4:5" x14ac:dyDescent="0.25">
      <c r="D660" s="4"/>
      <c r="E660" s="4"/>
    </row>
    <row r="661" spans="4:5" x14ac:dyDescent="0.25">
      <c r="D661" s="4"/>
      <c r="E661" s="4"/>
    </row>
    <row r="662" spans="4:5" x14ac:dyDescent="0.25">
      <c r="D662" s="4"/>
      <c r="E662" s="4"/>
    </row>
    <row r="663" spans="4:5" x14ac:dyDescent="0.25">
      <c r="D663" s="4"/>
      <c r="E663" s="4"/>
    </row>
    <row r="664" spans="4:5" x14ac:dyDescent="0.25">
      <c r="D664" s="4"/>
      <c r="E664" s="4"/>
    </row>
    <row r="665" spans="4:5" x14ac:dyDescent="0.25">
      <c r="D665" s="4"/>
      <c r="E665" s="4"/>
    </row>
    <row r="666" spans="4:5" x14ac:dyDescent="0.25">
      <c r="D666" s="4"/>
      <c r="E666" s="4"/>
    </row>
    <row r="667" spans="4:5" x14ac:dyDescent="0.25">
      <c r="D667" s="4"/>
      <c r="E667" s="4"/>
    </row>
    <row r="668" spans="4:5" x14ac:dyDescent="0.25">
      <c r="D668" s="4"/>
      <c r="E668" s="4"/>
    </row>
    <row r="669" spans="4:5" x14ac:dyDescent="0.25">
      <c r="D669" s="4"/>
      <c r="E669" s="4"/>
    </row>
    <row r="670" spans="4:5" x14ac:dyDescent="0.25">
      <c r="D670" s="4"/>
      <c r="E670" s="4"/>
    </row>
    <row r="671" spans="4:5" x14ac:dyDescent="0.25">
      <c r="D671" s="4"/>
      <c r="E671" s="4"/>
    </row>
    <row r="672" spans="4:5" x14ac:dyDescent="0.25">
      <c r="D672" s="4"/>
      <c r="E672" s="4"/>
    </row>
    <row r="673" spans="4:5" x14ac:dyDescent="0.25">
      <c r="D673" s="4"/>
      <c r="E673" s="4"/>
    </row>
    <row r="674" spans="4:5" x14ac:dyDescent="0.25">
      <c r="D674" s="4"/>
      <c r="E674" s="4"/>
    </row>
    <row r="675" spans="4:5" x14ac:dyDescent="0.25">
      <c r="D675" s="4"/>
      <c r="E675" s="4"/>
    </row>
    <row r="676" spans="4:5" x14ac:dyDescent="0.25">
      <c r="D676" s="4"/>
      <c r="E676" s="4"/>
    </row>
    <row r="677" spans="4:5" x14ac:dyDescent="0.25">
      <c r="D677" s="4"/>
      <c r="E677" s="4"/>
    </row>
    <row r="678" spans="4:5" x14ac:dyDescent="0.25">
      <c r="D678" s="4"/>
      <c r="E678" s="4"/>
    </row>
    <row r="679" spans="4:5" x14ac:dyDescent="0.25">
      <c r="D679" s="4"/>
      <c r="E679" s="4"/>
    </row>
    <row r="680" spans="4:5" x14ac:dyDescent="0.25">
      <c r="D680" s="4"/>
      <c r="E680" s="4"/>
    </row>
    <row r="681" spans="4:5" x14ac:dyDescent="0.25">
      <c r="D681" s="4"/>
      <c r="E681" s="4"/>
    </row>
    <row r="682" spans="4:5" x14ac:dyDescent="0.25">
      <c r="D682" s="4"/>
      <c r="E682" s="4"/>
    </row>
    <row r="683" spans="4:5" x14ac:dyDescent="0.25">
      <c r="D683" s="4"/>
      <c r="E683" s="4"/>
    </row>
    <row r="684" spans="4:5" x14ac:dyDescent="0.25">
      <c r="D684" s="4"/>
      <c r="E684" s="4"/>
    </row>
    <row r="685" spans="4:5" x14ac:dyDescent="0.25">
      <c r="D685" s="4"/>
      <c r="E685" s="4"/>
    </row>
    <row r="686" spans="4:5" x14ac:dyDescent="0.25">
      <c r="D686" s="4"/>
      <c r="E686" s="4"/>
    </row>
    <row r="687" spans="4:5" x14ac:dyDescent="0.25">
      <c r="D687" s="4"/>
      <c r="E687" s="4"/>
    </row>
    <row r="688" spans="4:5" x14ac:dyDescent="0.25">
      <c r="D688" s="4"/>
      <c r="E688" s="4"/>
    </row>
    <row r="689" spans="4:5" x14ac:dyDescent="0.25">
      <c r="D689" s="4"/>
      <c r="E689" s="4"/>
    </row>
    <row r="690" spans="4:5" x14ac:dyDescent="0.25">
      <c r="D690" s="4"/>
      <c r="E690" s="4"/>
    </row>
    <row r="691" spans="4:5" x14ac:dyDescent="0.25">
      <c r="D691" s="4"/>
      <c r="E691" s="4"/>
    </row>
    <row r="692" spans="4:5" x14ac:dyDescent="0.25">
      <c r="D692" s="4"/>
      <c r="E692" s="4"/>
    </row>
    <row r="693" spans="4:5" x14ac:dyDescent="0.25">
      <c r="D693" s="4"/>
      <c r="E693" s="4"/>
    </row>
    <row r="694" spans="4:5" x14ac:dyDescent="0.25">
      <c r="D694" s="4"/>
      <c r="E694" s="4"/>
    </row>
    <row r="695" spans="4:5" x14ac:dyDescent="0.25">
      <c r="D695" s="4"/>
      <c r="E695" s="4"/>
    </row>
    <row r="696" spans="4:5" x14ac:dyDescent="0.25">
      <c r="D696" s="4"/>
      <c r="E696" s="4"/>
    </row>
    <row r="697" spans="4:5" x14ac:dyDescent="0.25">
      <c r="D697" s="4"/>
      <c r="E697" s="4"/>
    </row>
    <row r="698" spans="4:5" x14ac:dyDescent="0.25">
      <c r="D698" s="4"/>
      <c r="E698" s="4"/>
    </row>
    <row r="699" spans="4:5" x14ac:dyDescent="0.25">
      <c r="D699" s="4"/>
      <c r="E699" s="4"/>
    </row>
    <row r="700" spans="4:5" x14ac:dyDescent="0.25">
      <c r="D700" s="4"/>
      <c r="E700" s="4"/>
    </row>
    <row r="701" spans="4:5" x14ac:dyDescent="0.25">
      <c r="D701" s="4"/>
      <c r="E701" s="4"/>
    </row>
    <row r="702" spans="4:5" x14ac:dyDescent="0.25">
      <c r="D702" s="4"/>
      <c r="E702" s="4"/>
    </row>
    <row r="703" spans="4:5" x14ac:dyDescent="0.25">
      <c r="D703" s="4"/>
      <c r="E703" s="4"/>
    </row>
    <row r="704" spans="4:5" x14ac:dyDescent="0.25">
      <c r="D704" s="4"/>
      <c r="E704" s="4"/>
    </row>
    <row r="705" spans="4:5" x14ac:dyDescent="0.25">
      <c r="D705" s="4"/>
      <c r="E705" s="4"/>
    </row>
    <row r="706" spans="4:5" x14ac:dyDescent="0.25">
      <c r="D706" s="4"/>
      <c r="E706" s="4"/>
    </row>
    <row r="707" spans="4:5" x14ac:dyDescent="0.25">
      <c r="D707" s="4"/>
      <c r="E707" s="4"/>
    </row>
    <row r="708" spans="4:5" x14ac:dyDescent="0.25">
      <c r="D708" s="4"/>
      <c r="E708" s="4"/>
    </row>
    <row r="709" spans="4:5" x14ac:dyDescent="0.25">
      <c r="D709" s="4"/>
      <c r="E709" s="4"/>
    </row>
    <row r="710" spans="4:5" x14ac:dyDescent="0.25">
      <c r="D710" s="4"/>
      <c r="E710" s="4"/>
    </row>
    <row r="711" spans="4:5" x14ac:dyDescent="0.25">
      <c r="D711" s="4"/>
      <c r="E711" s="4"/>
    </row>
    <row r="712" spans="4:5" x14ac:dyDescent="0.25">
      <c r="D712" s="4"/>
      <c r="E712" s="4"/>
    </row>
    <row r="713" spans="4:5" x14ac:dyDescent="0.25">
      <c r="D713" s="4"/>
      <c r="E713" s="4"/>
    </row>
    <row r="714" spans="4:5" x14ac:dyDescent="0.25">
      <c r="D714" s="4"/>
      <c r="E714" s="4"/>
    </row>
    <row r="715" spans="4:5" x14ac:dyDescent="0.25">
      <c r="D715" s="4"/>
      <c r="E715" s="4"/>
    </row>
    <row r="716" spans="4:5" x14ac:dyDescent="0.25">
      <c r="D716" s="4"/>
      <c r="E716" s="4"/>
    </row>
    <row r="717" spans="4:5" x14ac:dyDescent="0.25">
      <c r="D717" s="4"/>
      <c r="E717" s="4"/>
    </row>
    <row r="718" spans="4:5" x14ac:dyDescent="0.25">
      <c r="D718" s="4"/>
      <c r="E718" s="4"/>
    </row>
    <row r="719" spans="4:5" x14ac:dyDescent="0.25">
      <c r="D719" s="4"/>
      <c r="E719" s="4"/>
    </row>
    <row r="720" spans="4:5" x14ac:dyDescent="0.25">
      <c r="D720" s="4"/>
      <c r="E720" s="4"/>
    </row>
    <row r="721" spans="4:5" x14ac:dyDescent="0.25">
      <c r="D721" s="4"/>
      <c r="E721" s="4"/>
    </row>
    <row r="722" spans="4:5" x14ac:dyDescent="0.25">
      <c r="D722" s="4"/>
      <c r="E722" s="4"/>
    </row>
    <row r="723" spans="4:5" x14ac:dyDescent="0.25">
      <c r="D723" s="4"/>
      <c r="E723" s="4"/>
    </row>
    <row r="724" spans="4:5" x14ac:dyDescent="0.25">
      <c r="D724" s="4"/>
      <c r="E724" s="4"/>
    </row>
    <row r="725" spans="4:5" x14ac:dyDescent="0.25">
      <c r="D725" s="4"/>
      <c r="E725" s="4"/>
    </row>
    <row r="726" spans="4:5" x14ac:dyDescent="0.25">
      <c r="D726" s="4"/>
      <c r="E726" s="4"/>
    </row>
    <row r="727" spans="4:5" x14ac:dyDescent="0.25">
      <c r="D727" s="4"/>
      <c r="E727" s="4"/>
    </row>
    <row r="728" spans="4:5" x14ac:dyDescent="0.25">
      <c r="D728" s="4"/>
      <c r="E728" s="4"/>
    </row>
    <row r="729" spans="4:5" x14ac:dyDescent="0.25">
      <c r="D729" s="4"/>
      <c r="E729" s="4"/>
    </row>
    <row r="730" spans="4:5" x14ac:dyDescent="0.25">
      <c r="D730" s="4"/>
      <c r="E730" s="4"/>
    </row>
    <row r="731" spans="4:5" x14ac:dyDescent="0.25">
      <c r="D731" s="4"/>
      <c r="E731" s="4"/>
    </row>
    <row r="732" spans="4:5" x14ac:dyDescent="0.25">
      <c r="D732" s="4"/>
      <c r="E732" s="4"/>
    </row>
    <row r="733" spans="4:5" x14ac:dyDescent="0.25">
      <c r="D733" s="4"/>
      <c r="E733" s="4"/>
    </row>
    <row r="734" spans="4:5" x14ac:dyDescent="0.25">
      <c r="D734" s="4"/>
      <c r="E734" s="4"/>
    </row>
    <row r="735" spans="4:5" x14ac:dyDescent="0.25">
      <c r="D735" s="4"/>
      <c r="E735" s="4"/>
    </row>
    <row r="736" spans="4:5" x14ac:dyDescent="0.25">
      <c r="D736" s="4"/>
      <c r="E736" s="4"/>
    </row>
    <row r="737" spans="4:5" x14ac:dyDescent="0.25">
      <c r="D737" s="4"/>
      <c r="E737" s="4"/>
    </row>
    <row r="738" spans="4:5" x14ac:dyDescent="0.25">
      <c r="D738" s="4"/>
      <c r="E738" s="4"/>
    </row>
    <row r="739" spans="4:5" x14ac:dyDescent="0.25">
      <c r="D739" s="4"/>
      <c r="E739" s="4"/>
    </row>
    <row r="740" spans="4:5" x14ac:dyDescent="0.25">
      <c r="D740" s="4"/>
      <c r="E740" s="4"/>
    </row>
    <row r="741" spans="4:5" x14ac:dyDescent="0.25">
      <c r="D741" s="4"/>
      <c r="E741" s="4"/>
    </row>
    <row r="742" spans="4:5" x14ac:dyDescent="0.25">
      <c r="D742" s="4"/>
      <c r="E742" s="4"/>
    </row>
    <row r="743" spans="4:5" x14ac:dyDescent="0.25">
      <c r="D743" s="4"/>
      <c r="E743" s="4"/>
    </row>
    <row r="744" spans="4:5" x14ac:dyDescent="0.25">
      <c r="D744" s="4"/>
      <c r="E744" s="4"/>
    </row>
    <row r="745" spans="4:5" x14ac:dyDescent="0.25">
      <c r="D745" s="4"/>
      <c r="E745" s="4"/>
    </row>
    <row r="746" spans="4:5" x14ac:dyDescent="0.25">
      <c r="D746" s="4"/>
      <c r="E746" s="4"/>
    </row>
    <row r="747" spans="4:5" x14ac:dyDescent="0.25">
      <c r="D747" s="4"/>
      <c r="E747" s="4"/>
    </row>
    <row r="748" spans="4:5" x14ac:dyDescent="0.25">
      <c r="D748" s="4"/>
      <c r="E748" s="4"/>
    </row>
    <row r="749" spans="4:5" x14ac:dyDescent="0.25">
      <c r="D749" s="4"/>
      <c r="E749" s="4"/>
    </row>
    <row r="750" spans="4:5" x14ac:dyDescent="0.25">
      <c r="D750" s="4"/>
      <c r="E750" s="4"/>
    </row>
    <row r="751" spans="4:5" x14ac:dyDescent="0.25">
      <c r="D751" s="4"/>
      <c r="E751" s="4"/>
    </row>
    <row r="752" spans="4:5" x14ac:dyDescent="0.25">
      <c r="D752" s="4"/>
      <c r="E752" s="4"/>
    </row>
    <row r="753" spans="4:5" x14ac:dyDescent="0.25">
      <c r="D753" s="4"/>
      <c r="E753" s="4"/>
    </row>
    <row r="754" spans="4:5" x14ac:dyDescent="0.25">
      <c r="D754" s="4"/>
      <c r="E754" s="4"/>
    </row>
    <row r="755" spans="4:5" x14ac:dyDescent="0.25">
      <c r="D755" s="4"/>
      <c r="E755" s="4"/>
    </row>
    <row r="756" spans="4:5" x14ac:dyDescent="0.25">
      <c r="D756" s="4"/>
      <c r="E756" s="4"/>
    </row>
    <row r="757" spans="4:5" x14ac:dyDescent="0.25">
      <c r="D757" s="4"/>
      <c r="E757" s="4"/>
    </row>
    <row r="758" spans="4:5" x14ac:dyDescent="0.25">
      <c r="D758" s="4"/>
      <c r="E758" s="4"/>
    </row>
    <row r="759" spans="4:5" x14ac:dyDescent="0.25">
      <c r="D759" s="4"/>
      <c r="E759" s="4"/>
    </row>
    <row r="760" spans="4:5" x14ac:dyDescent="0.25">
      <c r="D760" s="4"/>
      <c r="E760" s="4"/>
    </row>
    <row r="761" spans="4:5" x14ac:dyDescent="0.25">
      <c r="D761" s="4"/>
      <c r="E761" s="4"/>
    </row>
    <row r="762" spans="4:5" x14ac:dyDescent="0.25">
      <c r="D762" s="4"/>
      <c r="E762" s="4"/>
    </row>
    <row r="763" spans="4:5" x14ac:dyDescent="0.25">
      <c r="D763" s="4"/>
      <c r="E763" s="4"/>
    </row>
    <row r="764" spans="4:5" x14ac:dyDescent="0.25">
      <c r="D764" s="4"/>
      <c r="E764" s="4"/>
    </row>
    <row r="765" spans="4:5" x14ac:dyDescent="0.25">
      <c r="D765" s="4"/>
      <c r="E765" s="4"/>
    </row>
    <row r="766" spans="4:5" x14ac:dyDescent="0.25">
      <c r="D766" s="4"/>
      <c r="E766" s="4"/>
    </row>
    <row r="767" spans="4:5" x14ac:dyDescent="0.25">
      <c r="D767" s="4"/>
      <c r="E767" s="4"/>
    </row>
    <row r="768" spans="4:5" x14ac:dyDescent="0.25">
      <c r="D768" s="4"/>
      <c r="E768" s="4"/>
    </row>
    <row r="769" spans="4:5" x14ac:dyDescent="0.25">
      <c r="D769" s="4"/>
      <c r="E769" s="4"/>
    </row>
    <row r="770" spans="4:5" x14ac:dyDescent="0.25">
      <c r="D770" s="4"/>
      <c r="E770" s="4"/>
    </row>
    <row r="771" spans="4:5" x14ac:dyDescent="0.25">
      <c r="D771" s="4"/>
      <c r="E771" s="4"/>
    </row>
    <row r="772" spans="4:5" x14ac:dyDescent="0.25">
      <c r="D772" s="4"/>
      <c r="E772" s="4"/>
    </row>
    <row r="773" spans="4:5" x14ac:dyDescent="0.25">
      <c r="D773" s="4"/>
      <c r="E773" s="4"/>
    </row>
    <row r="774" spans="4:5" x14ac:dyDescent="0.25">
      <c r="D774" s="4"/>
      <c r="E774" s="4"/>
    </row>
    <row r="775" spans="4:5" x14ac:dyDescent="0.25">
      <c r="D775" s="4"/>
      <c r="E775" s="4"/>
    </row>
    <row r="776" spans="4:5" x14ac:dyDescent="0.25">
      <c r="D776" s="4"/>
      <c r="E776" s="4"/>
    </row>
    <row r="777" spans="4:5" x14ac:dyDescent="0.25">
      <c r="D777" s="4"/>
      <c r="E777" s="4"/>
    </row>
    <row r="778" spans="4:5" x14ac:dyDescent="0.25">
      <c r="D778" s="4"/>
      <c r="E778" s="4"/>
    </row>
    <row r="779" spans="4:5" x14ac:dyDescent="0.25">
      <c r="D779" s="4"/>
      <c r="E779" s="4"/>
    </row>
    <row r="780" spans="4:5" x14ac:dyDescent="0.25">
      <c r="D780" s="4"/>
      <c r="E780" s="4"/>
    </row>
    <row r="781" spans="4:5" x14ac:dyDescent="0.25">
      <c r="D781" s="4"/>
      <c r="E781" s="4"/>
    </row>
    <row r="782" spans="4:5" x14ac:dyDescent="0.25">
      <c r="D782" s="4"/>
      <c r="E782" s="4"/>
    </row>
    <row r="783" spans="4:5" x14ac:dyDescent="0.25">
      <c r="D783" s="4"/>
      <c r="E783" s="4"/>
    </row>
    <row r="784" spans="4:5" x14ac:dyDescent="0.25">
      <c r="D784" s="4"/>
      <c r="E784" s="4"/>
    </row>
    <row r="785" spans="4:5" x14ac:dyDescent="0.25">
      <c r="D785" s="4"/>
      <c r="E785" s="4"/>
    </row>
    <row r="786" spans="4:5" x14ac:dyDescent="0.25">
      <c r="D786" s="4"/>
      <c r="E786" s="4"/>
    </row>
    <row r="787" spans="4:5" x14ac:dyDescent="0.25">
      <c r="D787" s="4"/>
      <c r="E787" s="4"/>
    </row>
    <row r="788" spans="4:5" x14ac:dyDescent="0.25">
      <c r="D788" s="4"/>
      <c r="E788" s="4"/>
    </row>
    <row r="789" spans="4:5" x14ac:dyDescent="0.25">
      <c r="D789" s="4"/>
      <c r="E789" s="4"/>
    </row>
    <row r="790" spans="4:5" x14ac:dyDescent="0.25">
      <c r="D790" s="4"/>
      <c r="E790" s="4"/>
    </row>
    <row r="791" spans="4:5" x14ac:dyDescent="0.25">
      <c r="D791" s="4"/>
      <c r="E791" s="4"/>
    </row>
    <row r="792" spans="4:5" x14ac:dyDescent="0.25">
      <c r="D792" s="4"/>
      <c r="E792" s="4"/>
    </row>
    <row r="793" spans="4:5" x14ac:dyDescent="0.25">
      <c r="D793" s="4"/>
      <c r="E793" s="4"/>
    </row>
    <row r="794" spans="4:5" x14ac:dyDescent="0.25">
      <c r="D794" s="4"/>
      <c r="E794" s="4"/>
    </row>
    <row r="795" spans="4:5" x14ac:dyDescent="0.25">
      <c r="D795" s="4"/>
      <c r="E795" s="4"/>
    </row>
    <row r="796" spans="4:5" x14ac:dyDescent="0.25">
      <c r="D796" s="4"/>
      <c r="E796" s="4"/>
    </row>
    <row r="797" spans="4:5" x14ac:dyDescent="0.25">
      <c r="D797" s="4"/>
      <c r="E797" s="4"/>
    </row>
    <row r="798" spans="4:5" x14ac:dyDescent="0.25">
      <c r="D798" s="4"/>
      <c r="E798" s="4"/>
    </row>
    <row r="799" spans="4:5" x14ac:dyDescent="0.25">
      <c r="D799" s="4"/>
      <c r="E799" s="4"/>
    </row>
    <row r="800" spans="4:5" x14ac:dyDescent="0.25">
      <c r="D800" s="4"/>
      <c r="E800" s="4"/>
    </row>
    <row r="801" spans="4:5" x14ac:dyDescent="0.25">
      <c r="D801" s="4"/>
      <c r="E801" s="4"/>
    </row>
    <row r="802" spans="4:5" x14ac:dyDescent="0.25">
      <c r="D802" s="4"/>
      <c r="E802" s="4"/>
    </row>
    <row r="803" spans="4:5" x14ac:dyDescent="0.25">
      <c r="D803" s="4"/>
      <c r="E803" s="4"/>
    </row>
    <row r="804" spans="4:5" x14ac:dyDescent="0.25">
      <c r="D804" s="4"/>
      <c r="E804" s="4"/>
    </row>
    <row r="805" spans="4:5" x14ac:dyDescent="0.25">
      <c r="D805" s="4"/>
      <c r="E805" s="4"/>
    </row>
    <row r="806" spans="4:5" x14ac:dyDescent="0.25">
      <c r="D806" s="4"/>
      <c r="E806" s="4"/>
    </row>
    <row r="807" spans="4:5" x14ac:dyDescent="0.25">
      <c r="D807" s="4"/>
      <c r="E807" s="4"/>
    </row>
    <row r="808" spans="4:5" x14ac:dyDescent="0.25">
      <c r="D808" s="4"/>
      <c r="E808" s="4"/>
    </row>
    <row r="809" spans="4:5" x14ac:dyDescent="0.25">
      <c r="D809" s="4"/>
      <c r="E809" s="4"/>
    </row>
    <row r="810" spans="4:5" x14ac:dyDescent="0.25">
      <c r="D810" s="4"/>
      <c r="E810" s="4"/>
    </row>
    <row r="811" spans="4:5" x14ac:dyDescent="0.25">
      <c r="D811" s="4"/>
      <c r="E811" s="4"/>
    </row>
    <row r="812" spans="4:5" x14ac:dyDescent="0.25">
      <c r="D812" s="4"/>
      <c r="E812" s="4"/>
    </row>
    <row r="813" spans="4:5" x14ac:dyDescent="0.25">
      <c r="D813" s="4"/>
      <c r="E813" s="4"/>
    </row>
    <row r="814" spans="4:5" x14ac:dyDescent="0.25">
      <c r="D814" s="4"/>
      <c r="E814" s="4"/>
    </row>
    <row r="815" spans="4:5" x14ac:dyDescent="0.25">
      <c r="D815" s="4"/>
      <c r="E815" s="4"/>
    </row>
    <row r="816" spans="4:5" x14ac:dyDescent="0.25">
      <c r="D816" s="4"/>
      <c r="E816" s="4"/>
    </row>
    <row r="817" spans="4:5" x14ac:dyDescent="0.25">
      <c r="D817" s="4"/>
      <c r="E817" s="4"/>
    </row>
    <row r="818" spans="4:5" x14ac:dyDescent="0.25">
      <c r="D818" s="4"/>
      <c r="E818" s="4"/>
    </row>
    <row r="819" spans="4:5" x14ac:dyDescent="0.25">
      <c r="D819" s="4"/>
      <c r="E819" s="4"/>
    </row>
    <row r="820" spans="4:5" x14ac:dyDescent="0.25">
      <c r="D820" s="4"/>
      <c r="E820" s="4"/>
    </row>
    <row r="821" spans="4:5" x14ac:dyDescent="0.25">
      <c r="D821" s="4"/>
      <c r="E821" s="4"/>
    </row>
    <row r="822" spans="4:5" x14ac:dyDescent="0.25">
      <c r="D822" s="4"/>
      <c r="E822" s="4"/>
    </row>
    <row r="823" spans="4:5" x14ac:dyDescent="0.25">
      <c r="D823" s="4"/>
      <c r="E823" s="4"/>
    </row>
    <row r="824" spans="4:5" x14ac:dyDescent="0.25">
      <c r="D824" s="4"/>
      <c r="E824" s="4"/>
    </row>
    <row r="825" spans="4:5" x14ac:dyDescent="0.25">
      <c r="D825" s="4"/>
      <c r="E825" s="4"/>
    </row>
    <row r="826" spans="4:5" x14ac:dyDescent="0.25">
      <c r="D826" s="4"/>
      <c r="E826" s="4"/>
    </row>
    <row r="827" spans="4:5" x14ac:dyDescent="0.25">
      <c r="D827" s="4"/>
      <c r="E827" s="4"/>
    </row>
    <row r="828" spans="4:5" x14ac:dyDescent="0.25">
      <c r="D828" s="4"/>
      <c r="E828" s="4"/>
    </row>
    <row r="829" spans="4:5" x14ac:dyDescent="0.25">
      <c r="D829" s="4"/>
      <c r="E829" s="4"/>
    </row>
    <row r="830" spans="4:5" x14ac:dyDescent="0.25">
      <c r="D830" s="4"/>
      <c r="E830" s="4"/>
    </row>
    <row r="831" spans="4:5" x14ac:dyDescent="0.25">
      <c r="D831" s="4"/>
      <c r="E831" s="4"/>
    </row>
    <row r="832" spans="4:5" x14ac:dyDescent="0.25">
      <c r="D832" s="4"/>
      <c r="E832" s="4"/>
    </row>
    <row r="833" spans="4:5" x14ac:dyDescent="0.25">
      <c r="D833" s="4"/>
      <c r="E833" s="4"/>
    </row>
    <row r="834" spans="4:5" x14ac:dyDescent="0.25">
      <c r="D834" s="4"/>
      <c r="E834" s="4"/>
    </row>
    <row r="835" spans="4:5" x14ac:dyDescent="0.25">
      <c r="D835" s="4"/>
      <c r="E835" s="4"/>
    </row>
    <row r="836" spans="4:5" x14ac:dyDescent="0.25">
      <c r="D836" s="4"/>
      <c r="E836" s="4"/>
    </row>
    <row r="837" spans="4:5" x14ac:dyDescent="0.25">
      <c r="D837" s="4"/>
      <c r="E837" s="4"/>
    </row>
    <row r="838" spans="4:5" x14ac:dyDescent="0.25">
      <c r="D838" s="4"/>
      <c r="E838" s="4"/>
    </row>
    <row r="839" spans="4:5" x14ac:dyDescent="0.25">
      <c r="D839" s="4"/>
      <c r="E839" s="4"/>
    </row>
    <row r="840" spans="4:5" x14ac:dyDescent="0.25">
      <c r="D840" s="4"/>
      <c r="E840" s="4"/>
    </row>
    <row r="841" spans="4:5" x14ac:dyDescent="0.25">
      <c r="D841" s="4"/>
      <c r="E841" s="4"/>
    </row>
    <row r="842" spans="4:5" x14ac:dyDescent="0.25">
      <c r="D842" s="4"/>
      <c r="E842" s="4"/>
    </row>
    <row r="843" spans="4:5" x14ac:dyDescent="0.25">
      <c r="D843" s="4"/>
      <c r="E843" s="4"/>
    </row>
    <row r="844" spans="4:5" x14ac:dyDescent="0.25">
      <c r="D844" s="4"/>
      <c r="E844" s="4"/>
    </row>
    <row r="845" spans="4:5" x14ac:dyDescent="0.25">
      <c r="D845" s="4"/>
      <c r="E845" s="4"/>
    </row>
    <row r="846" spans="4:5" x14ac:dyDescent="0.25">
      <c r="D846" s="4"/>
      <c r="E846" s="4"/>
    </row>
    <row r="847" spans="4:5" x14ac:dyDescent="0.25">
      <c r="D847" s="4"/>
      <c r="E847" s="4"/>
    </row>
    <row r="848" spans="4:5" x14ac:dyDescent="0.25">
      <c r="D848" s="4"/>
      <c r="E848" s="4"/>
    </row>
    <row r="849" spans="4:5" x14ac:dyDescent="0.25">
      <c r="D849" s="4"/>
      <c r="E849" s="4"/>
    </row>
    <row r="850" spans="4:5" x14ac:dyDescent="0.25">
      <c r="D850" s="4"/>
      <c r="E850" s="4"/>
    </row>
    <row r="851" spans="4:5" x14ac:dyDescent="0.25">
      <c r="D851" s="4"/>
      <c r="E851" s="4"/>
    </row>
    <row r="852" spans="4:5" x14ac:dyDescent="0.25">
      <c r="D852" s="4"/>
      <c r="E852" s="4"/>
    </row>
    <row r="853" spans="4:5" x14ac:dyDescent="0.25">
      <c r="D853" s="4"/>
      <c r="E853" s="4"/>
    </row>
    <row r="854" spans="4:5" x14ac:dyDescent="0.25">
      <c r="D854" s="4"/>
      <c r="E854" s="4"/>
    </row>
    <row r="855" spans="4:5" x14ac:dyDescent="0.25">
      <c r="D855" s="4"/>
      <c r="E855" s="4"/>
    </row>
    <row r="856" spans="4:5" x14ac:dyDescent="0.25">
      <c r="D856" s="4"/>
      <c r="E856" s="4"/>
    </row>
    <row r="857" spans="4:5" x14ac:dyDescent="0.25">
      <c r="D857" s="4"/>
      <c r="E857" s="4"/>
    </row>
    <row r="858" spans="4:5" x14ac:dyDescent="0.25">
      <c r="D858" s="4"/>
      <c r="E858" s="4"/>
    </row>
    <row r="859" spans="4:5" x14ac:dyDescent="0.25">
      <c r="D859" s="4"/>
      <c r="E859" s="4"/>
    </row>
    <row r="860" spans="4:5" x14ac:dyDescent="0.25">
      <c r="D860" s="4"/>
      <c r="E860" s="4"/>
    </row>
    <row r="861" spans="4:5" x14ac:dyDescent="0.25">
      <c r="D861" s="4"/>
      <c r="E861" s="4"/>
    </row>
    <row r="862" spans="4:5" x14ac:dyDescent="0.25">
      <c r="D862" s="4"/>
      <c r="E862" s="4"/>
    </row>
    <row r="863" spans="4:5" x14ac:dyDescent="0.25">
      <c r="D863" s="4"/>
      <c r="E863" s="4"/>
    </row>
    <row r="864" spans="4:5" x14ac:dyDescent="0.25">
      <c r="D864" s="4"/>
      <c r="E864" s="4"/>
    </row>
    <row r="865" spans="4:5" x14ac:dyDescent="0.25">
      <c r="D865" s="4"/>
      <c r="E865" s="4"/>
    </row>
    <row r="866" spans="4:5" x14ac:dyDescent="0.25">
      <c r="D866" s="4"/>
      <c r="E866" s="4"/>
    </row>
    <row r="867" spans="4:5" x14ac:dyDescent="0.25">
      <c r="D867" s="4"/>
      <c r="E867" s="4"/>
    </row>
    <row r="868" spans="4:5" x14ac:dyDescent="0.25">
      <c r="D868" s="4"/>
      <c r="E868" s="4"/>
    </row>
    <row r="869" spans="4:5" x14ac:dyDescent="0.25">
      <c r="D869" s="4"/>
      <c r="E869" s="4"/>
    </row>
    <row r="870" spans="4:5" x14ac:dyDescent="0.25">
      <c r="D870" s="4"/>
      <c r="E870" s="4"/>
    </row>
    <row r="871" spans="4:5" x14ac:dyDescent="0.25">
      <c r="D871" s="4"/>
      <c r="E871" s="4"/>
    </row>
    <row r="872" spans="4:5" x14ac:dyDescent="0.25">
      <c r="D872" s="4"/>
      <c r="E872" s="4"/>
    </row>
    <row r="873" spans="4:5" x14ac:dyDescent="0.25">
      <c r="D873" s="4"/>
      <c r="E873" s="4"/>
    </row>
    <row r="874" spans="4:5" x14ac:dyDescent="0.25">
      <c r="D874" s="4"/>
      <c r="E874" s="4"/>
    </row>
    <row r="875" spans="4:5" x14ac:dyDescent="0.25">
      <c r="D875" s="4"/>
      <c r="E875" s="4"/>
    </row>
    <row r="876" spans="4:5" x14ac:dyDescent="0.25">
      <c r="D876" s="4"/>
      <c r="E876" s="4"/>
    </row>
    <row r="877" spans="4:5" x14ac:dyDescent="0.25">
      <c r="D877" s="4"/>
      <c r="E877" s="4"/>
    </row>
    <row r="878" spans="4:5" x14ac:dyDescent="0.25">
      <c r="D878" s="4"/>
      <c r="E878" s="4"/>
    </row>
    <row r="879" spans="4:5" x14ac:dyDescent="0.25">
      <c r="D879" s="4"/>
      <c r="E879" s="4"/>
    </row>
    <row r="880" spans="4:5" x14ac:dyDescent="0.25">
      <c r="D880" s="4"/>
      <c r="E880" s="4"/>
    </row>
    <row r="881" spans="4:5" x14ac:dyDescent="0.25">
      <c r="D881" s="4"/>
      <c r="E881" s="4"/>
    </row>
    <row r="882" spans="4:5" x14ac:dyDescent="0.25">
      <c r="D882" s="4"/>
      <c r="E882" s="4"/>
    </row>
    <row r="883" spans="4:5" x14ac:dyDescent="0.25">
      <c r="D883" s="4"/>
      <c r="E883" s="4"/>
    </row>
    <row r="884" spans="4:5" x14ac:dyDescent="0.25">
      <c r="D884" s="4"/>
      <c r="E884" s="4"/>
    </row>
    <row r="885" spans="4:5" x14ac:dyDescent="0.25">
      <c r="D885" s="4"/>
      <c r="E885" s="4"/>
    </row>
    <row r="886" spans="4:5" x14ac:dyDescent="0.25">
      <c r="D886" s="4"/>
      <c r="E886" s="4"/>
    </row>
    <row r="887" spans="4:5" x14ac:dyDescent="0.25">
      <c r="D887" s="4"/>
      <c r="E887" s="4"/>
    </row>
    <row r="888" spans="4:5" x14ac:dyDescent="0.25">
      <c r="D888" s="4"/>
      <c r="E888" s="4"/>
    </row>
    <row r="889" spans="4:5" x14ac:dyDescent="0.25">
      <c r="D889" s="4"/>
      <c r="E889" s="4"/>
    </row>
    <row r="890" spans="4:5" x14ac:dyDescent="0.25">
      <c r="D890" s="4"/>
      <c r="E890" s="4"/>
    </row>
    <row r="891" spans="4:5" x14ac:dyDescent="0.25">
      <c r="D891" s="4"/>
      <c r="E891" s="4"/>
    </row>
    <row r="892" spans="4:5" x14ac:dyDescent="0.25">
      <c r="D892" s="4"/>
      <c r="E892" s="4"/>
    </row>
    <row r="893" spans="4:5" x14ac:dyDescent="0.25">
      <c r="D893" s="4"/>
      <c r="E893" s="4"/>
    </row>
    <row r="894" spans="4:5" x14ac:dyDescent="0.25">
      <c r="D894" s="4"/>
      <c r="E894" s="4"/>
    </row>
    <row r="895" spans="4:5" x14ac:dyDescent="0.25">
      <c r="D895" s="4"/>
      <c r="E895" s="4"/>
    </row>
    <row r="896" spans="4:5" x14ac:dyDescent="0.25">
      <c r="D896" s="4"/>
      <c r="E896" s="4"/>
    </row>
    <row r="897" spans="4:5" x14ac:dyDescent="0.25">
      <c r="D897" s="4"/>
      <c r="E897" s="4"/>
    </row>
    <row r="898" spans="4:5" x14ac:dyDescent="0.25">
      <c r="D898" s="4"/>
      <c r="E898" s="4"/>
    </row>
    <row r="899" spans="4:5" x14ac:dyDescent="0.25">
      <c r="D899" s="4"/>
      <c r="E899" s="4"/>
    </row>
    <row r="900" spans="4:5" x14ac:dyDescent="0.25">
      <c r="D900" s="4"/>
      <c r="E900" s="4"/>
    </row>
    <row r="901" spans="4:5" x14ac:dyDescent="0.25">
      <c r="D901" s="4"/>
      <c r="E901" s="4"/>
    </row>
    <row r="902" spans="4:5" x14ac:dyDescent="0.25">
      <c r="D902" s="4"/>
      <c r="E902" s="4"/>
    </row>
    <row r="903" spans="4:5" x14ac:dyDescent="0.25">
      <c r="D903" s="4"/>
      <c r="E903" s="4"/>
    </row>
    <row r="904" spans="4:5" x14ac:dyDescent="0.25">
      <c r="D904" s="4"/>
      <c r="E904" s="4"/>
    </row>
    <row r="905" spans="4:5" x14ac:dyDescent="0.25">
      <c r="D905" s="4"/>
      <c r="E905" s="4"/>
    </row>
    <row r="906" spans="4:5" x14ac:dyDescent="0.25">
      <c r="D906" s="4"/>
      <c r="E906" s="4"/>
    </row>
    <row r="907" spans="4:5" x14ac:dyDescent="0.25">
      <c r="D907" s="4"/>
      <c r="E907" s="4"/>
    </row>
    <row r="908" spans="4:5" x14ac:dyDescent="0.25">
      <c r="D908" s="4"/>
      <c r="E908" s="4"/>
    </row>
    <row r="909" spans="4:5" x14ac:dyDescent="0.25">
      <c r="D909" s="4"/>
      <c r="E909" s="4"/>
    </row>
    <row r="910" spans="4:5" x14ac:dyDescent="0.25">
      <c r="D910" s="4"/>
      <c r="E910" s="4"/>
    </row>
    <row r="911" spans="4:5" x14ac:dyDescent="0.25">
      <c r="D911" s="4"/>
      <c r="E911" s="4"/>
    </row>
    <row r="912" spans="4:5" x14ac:dyDescent="0.25">
      <c r="D912" s="4"/>
      <c r="E912" s="4"/>
    </row>
    <row r="913" spans="4:5" x14ac:dyDescent="0.25">
      <c r="D913" s="4"/>
      <c r="E913" s="4"/>
    </row>
    <row r="914" spans="4:5" x14ac:dyDescent="0.25">
      <c r="D914" s="4"/>
      <c r="E914" s="4"/>
    </row>
    <row r="915" spans="4:5" x14ac:dyDescent="0.25">
      <c r="D915" s="4"/>
      <c r="E915" s="4"/>
    </row>
    <row r="916" spans="4:5" x14ac:dyDescent="0.25">
      <c r="D916" s="4"/>
      <c r="E916" s="4"/>
    </row>
    <row r="917" spans="4:5" x14ac:dyDescent="0.25">
      <c r="D917" s="4"/>
      <c r="E917" s="4"/>
    </row>
    <row r="918" spans="4:5" x14ac:dyDescent="0.25">
      <c r="D918" s="4"/>
      <c r="E918" s="4"/>
    </row>
    <row r="919" spans="4:5" x14ac:dyDescent="0.25">
      <c r="D919" s="4"/>
      <c r="E919" s="4"/>
    </row>
    <row r="920" spans="4:5" x14ac:dyDescent="0.25">
      <c r="D920" s="4"/>
      <c r="E920" s="4"/>
    </row>
    <row r="921" spans="4:5" x14ac:dyDescent="0.25">
      <c r="D921" s="4"/>
      <c r="E921" s="4"/>
    </row>
    <row r="922" spans="4:5" x14ac:dyDescent="0.25">
      <c r="D922" s="4"/>
      <c r="E922" s="4"/>
    </row>
    <row r="923" spans="4:5" x14ac:dyDescent="0.25">
      <c r="D923" s="4"/>
      <c r="E923" s="4"/>
    </row>
    <row r="924" spans="4:5" x14ac:dyDescent="0.25">
      <c r="D924" s="4"/>
      <c r="E924" s="4"/>
    </row>
    <row r="925" spans="4:5" x14ac:dyDescent="0.25">
      <c r="D925" s="4"/>
      <c r="E925" s="4"/>
    </row>
    <row r="926" spans="4:5" x14ac:dyDescent="0.25">
      <c r="D926" s="4"/>
      <c r="E926" s="4"/>
    </row>
    <row r="927" spans="4:5" x14ac:dyDescent="0.25">
      <c r="D927" s="4"/>
      <c r="E927" s="4"/>
    </row>
    <row r="928" spans="4:5" x14ac:dyDescent="0.25">
      <c r="D928" s="4"/>
      <c r="E928" s="4"/>
    </row>
    <row r="929" spans="4:5" x14ac:dyDescent="0.25">
      <c r="D929" s="4"/>
      <c r="E929" s="4"/>
    </row>
    <row r="930" spans="4:5" x14ac:dyDescent="0.25">
      <c r="D930" s="4"/>
      <c r="E930" s="4"/>
    </row>
    <row r="931" spans="4:5" x14ac:dyDescent="0.25">
      <c r="D931" s="4"/>
      <c r="E931" s="4"/>
    </row>
    <row r="932" spans="4:5" x14ac:dyDescent="0.25">
      <c r="D932" s="4"/>
      <c r="E932" s="4"/>
    </row>
    <row r="933" spans="4:5" x14ac:dyDescent="0.25">
      <c r="D933" s="4"/>
      <c r="E933" s="4"/>
    </row>
    <row r="934" spans="4:5" x14ac:dyDescent="0.25">
      <c r="D934" s="4"/>
      <c r="E934" s="4"/>
    </row>
    <row r="935" spans="4:5" x14ac:dyDescent="0.25">
      <c r="D935" s="4"/>
      <c r="E935" s="4"/>
    </row>
    <row r="936" spans="4:5" x14ac:dyDescent="0.25">
      <c r="D936" s="4"/>
      <c r="E936" s="4"/>
    </row>
    <row r="937" spans="4:5" x14ac:dyDescent="0.25">
      <c r="D937" s="4"/>
      <c r="E937" s="4"/>
    </row>
    <row r="938" spans="4:5" x14ac:dyDescent="0.25">
      <c r="D938" s="4"/>
      <c r="E938" s="4"/>
    </row>
    <row r="939" spans="4:5" x14ac:dyDescent="0.25">
      <c r="D939" s="4"/>
      <c r="E939" s="4"/>
    </row>
    <row r="940" spans="4:5" x14ac:dyDescent="0.25">
      <c r="D940" s="4"/>
      <c r="E940" s="4"/>
    </row>
    <row r="941" spans="4:5" x14ac:dyDescent="0.25">
      <c r="D941" s="4"/>
      <c r="E941" s="4"/>
    </row>
    <row r="942" spans="4:5" x14ac:dyDescent="0.25">
      <c r="D942" s="4"/>
      <c r="E942" s="4"/>
    </row>
    <row r="943" spans="4:5" x14ac:dyDescent="0.25">
      <c r="D943" s="4"/>
      <c r="E943" s="4"/>
    </row>
    <row r="944" spans="4:5" x14ac:dyDescent="0.25">
      <c r="D944" s="4"/>
      <c r="E944" s="4"/>
    </row>
    <row r="945" spans="4:5" x14ac:dyDescent="0.25">
      <c r="D945" s="4"/>
      <c r="E945" s="4"/>
    </row>
    <row r="946" spans="4:5" x14ac:dyDescent="0.25">
      <c r="D946" s="4"/>
      <c r="E946" s="4"/>
    </row>
    <row r="947" spans="4:5" x14ac:dyDescent="0.25">
      <c r="D947" s="4"/>
      <c r="E947" s="4"/>
    </row>
    <row r="948" spans="4:5" x14ac:dyDescent="0.25">
      <c r="D948" s="4"/>
      <c r="E948" s="4"/>
    </row>
    <row r="949" spans="4:5" x14ac:dyDescent="0.25">
      <c r="D949" s="4"/>
      <c r="E949" s="4"/>
    </row>
    <row r="950" spans="4:5" x14ac:dyDescent="0.25">
      <c r="D950" s="4"/>
      <c r="E950" s="4"/>
    </row>
    <row r="951" spans="4:5" x14ac:dyDescent="0.25">
      <c r="D951" s="4"/>
      <c r="E951" s="4"/>
    </row>
    <row r="952" spans="4:5" x14ac:dyDescent="0.25">
      <c r="D952" s="4"/>
      <c r="E952" s="4"/>
    </row>
    <row r="953" spans="4:5" x14ac:dyDescent="0.25">
      <c r="D953" s="4"/>
      <c r="E953" s="4"/>
    </row>
    <row r="954" spans="4:5" x14ac:dyDescent="0.25">
      <c r="D954" s="4"/>
      <c r="E954" s="4"/>
    </row>
    <row r="955" spans="4:5" x14ac:dyDescent="0.25">
      <c r="D955" s="4"/>
      <c r="E955" s="4"/>
    </row>
    <row r="956" spans="4:5" x14ac:dyDescent="0.25">
      <c r="D956" s="4"/>
      <c r="E956" s="4"/>
    </row>
    <row r="957" spans="4:5" x14ac:dyDescent="0.25">
      <c r="D957" s="4"/>
      <c r="E957" s="4"/>
    </row>
    <row r="958" spans="4:5" x14ac:dyDescent="0.25">
      <c r="D958" s="4"/>
      <c r="E958" s="4"/>
    </row>
    <row r="959" spans="4:5" x14ac:dyDescent="0.25">
      <c r="D959" s="4"/>
      <c r="E959" s="4"/>
    </row>
    <row r="960" spans="4:5" x14ac:dyDescent="0.25">
      <c r="D960" s="4"/>
      <c r="E960" s="4"/>
    </row>
    <row r="961" spans="4:5" x14ac:dyDescent="0.25">
      <c r="D961" s="4"/>
      <c r="E961" s="4"/>
    </row>
    <row r="962" spans="4:5" x14ac:dyDescent="0.25">
      <c r="D962" s="4"/>
      <c r="E962" s="4"/>
    </row>
    <row r="963" spans="4:5" x14ac:dyDescent="0.25">
      <c r="D963" s="4"/>
      <c r="E963" s="4"/>
    </row>
    <row r="964" spans="4:5" x14ac:dyDescent="0.25">
      <c r="D964" s="4"/>
      <c r="E964" s="4"/>
    </row>
    <row r="965" spans="4:5" x14ac:dyDescent="0.25">
      <c r="D965" s="4"/>
      <c r="E965" s="4"/>
    </row>
    <row r="966" spans="4:5" x14ac:dyDescent="0.25">
      <c r="D966" s="4"/>
      <c r="E966" s="4"/>
    </row>
    <row r="967" spans="4:5" x14ac:dyDescent="0.25">
      <c r="D967" s="4"/>
      <c r="E967" s="4"/>
    </row>
    <row r="968" spans="4:5" x14ac:dyDescent="0.25">
      <c r="D968" s="4"/>
      <c r="E968" s="4"/>
    </row>
    <row r="969" spans="4:5" x14ac:dyDescent="0.25">
      <c r="D969" s="4"/>
      <c r="E969" s="4"/>
    </row>
    <row r="970" spans="4:5" x14ac:dyDescent="0.25">
      <c r="D970" s="4"/>
      <c r="E970" s="4"/>
    </row>
    <row r="971" spans="4:5" x14ac:dyDescent="0.25">
      <c r="D971" s="4"/>
      <c r="E971" s="4"/>
    </row>
    <row r="972" spans="4:5" x14ac:dyDescent="0.25">
      <c r="D972" s="4"/>
      <c r="E972" s="4"/>
    </row>
    <row r="973" spans="4:5" x14ac:dyDescent="0.25">
      <c r="D973" s="4"/>
      <c r="E973" s="4"/>
    </row>
    <row r="974" spans="4:5" x14ac:dyDescent="0.25">
      <c r="D974" s="4"/>
      <c r="E974" s="4"/>
    </row>
    <row r="975" spans="4:5" x14ac:dyDescent="0.25">
      <c r="D975" s="4"/>
      <c r="E975" s="4"/>
    </row>
    <row r="976" spans="4:5" x14ac:dyDescent="0.25">
      <c r="D976" s="4"/>
      <c r="E976" s="4"/>
    </row>
    <row r="977" spans="4:5" x14ac:dyDescent="0.25">
      <c r="D977" s="4"/>
      <c r="E977" s="4"/>
    </row>
    <row r="978" spans="4:5" x14ac:dyDescent="0.25">
      <c r="D978" s="4"/>
      <c r="E978" s="4"/>
    </row>
    <row r="979" spans="4:5" x14ac:dyDescent="0.25">
      <c r="D979" s="4"/>
      <c r="E979" s="4"/>
    </row>
    <row r="980" spans="4:5" x14ac:dyDescent="0.25">
      <c r="D980" s="4"/>
      <c r="E980" s="4"/>
    </row>
    <row r="981" spans="4:5" x14ac:dyDescent="0.25">
      <c r="D981" s="4"/>
      <c r="E981" s="4"/>
    </row>
    <row r="982" spans="4:5" x14ac:dyDescent="0.25">
      <c r="D982" s="4"/>
      <c r="E982" s="4"/>
    </row>
    <row r="983" spans="4:5" x14ac:dyDescent="0.25">
      <c r="D983" s="4"/>
      <c r="E983" s="4"/>
    </row>
    <row r="984" spans="4:5" x14ac:dyDescent="0.25">
      <c r="D984" s="4"/>
      <c r="E984" s="4"/>
    </row>
    <row r="985" spans="4:5" x14ac:dyDescent="0.25">
      <c r="D985" s="4"/>
      <c r="E985" s="4"/>
    </row>
    <row r="986" spans="4:5" x14ac:dyDescent="0.25">
      <c r="D986" s="4"/>
      <c r="E986" s="4"/>
    </row>
    <row r="987" spans="4:5" x14ac:dyDescent="0.25">
      <c r="D987" s="4"/>
      <c r="E987" s="4"/>
    </row>
    <row r="988" spans="4:5" x14ac:dyDescent="0.25">
      <c r="D988" s="4"/>
      <c r="E988" s="4"/>
    </row>
    <row r="989" spans="4:5" x14ac:dyDescent="0.25">
      <c r="D989" s="4"/>
      <c r="E989" s="4"/>
    </row>
    <row r="990" spans="4:5" x14ac:dyDescent="0.25">
      <c r="D990" s="4"/>
      <c r="E990" s="4"/>
    </row>
    <row r="991" spans="4:5" x14ac:dyDescent="0.25">
      <c r="D991" s="4"/>
      <c r="E991" s="4"/>
    </row>
    <row r="992" spans="4:5" x14ac:dyDescent="0.25">
      <c r="D992" s="4"/>
      <c r="E992" s="4"/>
    </row>
    <row r="993" spans="4:5" x14ac:dyDescent="0.25">
      <c r="D993" s="4"/>
      <c r="E993" s="4"/>
    </row>
    <row r="994" spans="4:5" x14ac:dyDescent="0.25">
      <c r="D994" s="4"/>
      <c r="E994" s="4"/>
    </row>
    <row r="995" spans="4:5" x14ac:dyDescent="0.25">
      <c r="D995" s="4"/>
      <c r="E995" s="4"/>
    </row>
    <row r="996" spans="4:5" x14ac:dyDescent="0.25">
      <c r="D996" s="4"/>
      <c r="E996" s="4"/>
    </row>
    <row r="997" spans="4:5" x14ac:dyDescent="0.25">
      <c r="D997" s="4"/>
      <c r="E997" s="4"/>
    </row>
  </sheetData>
  <mergeCells count="2">
    <mergeCell ref="S5:X6"/>
    <mergeCell ref="S16:U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AE140BXYDEG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Nemmer</dc:creator>
  <cp:lastModifiedBy>Nicolas Bautista Nemmer Moratorio</cp:lastModifiedBy>
  <dcterms:created xsi:type="dcterms:W3CDTF">2026-05-12T01:25:57Z</dcterms:created>
  <dcterms:modified xsi:type="dcterms:W3CDTF">2026-05-12T01:25:57Z</dcterms:modified>
</cp:coreProperties>
</file>